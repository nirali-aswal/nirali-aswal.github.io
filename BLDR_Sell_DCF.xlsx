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Financials" sheetId="3" r:id="rId7"/>
    <sheet state="visible" name="DCF" sheetId="4" r:id="rId8"/>
    <sheet state="visible" name="Scenarios" sheetId="5" r:id="rId9"/>
    <sheet state="visible" name="Comps" sheetId="6" r:id="rId10"/>
    <sheet state="visible" name="Football Field" sheetId="7" r:id="rId11"/>
  </sheets>
  <definedNames/>
  <calcPr/>
</workbook>
</file>

<file path=xl/sharedStrings.xml><?xml version="1.0" encoding="utf-8"?>
<sst xmlns="http://schemas.openxmlformats.org/spreadsheetml/2006/main" count="186" uniqueCount="170">
  <si>
    <t>BLDR</t>
  </si>
  <si>
    <t>Builders FirstSource, Inc.  |  NYSE: BLDR  |  Industrials — Building Products</t>
  </si>
  <si>
    <t>Recommendation</t>
  </si>
  <si>
    <t>Pitch Date</t>
  </si>
  <si>
    <t>Target Price</t>
  </si>
  <si>
    <t>Downside</t>
  </si>
  <si>
    <t>Current</t>
  </si>
  <si>
    <t>SELL</t>
  </si>
  <si>
    <t>December 2025</t>
  </si>
  <si>
    <t>Investment Thesis  |  SELL</t>
  </si>
  <si>
    <t xml:space="preserve">  •  Weakening end market: single-family starts –12.1% YoY, multi-family –20.1% YoY. BLDR's core revenue tied directly to housing starts — deterioration is not priced in.</t>
  </si>
  <si>
    <t xml:space="preserve">  •  Organic revenue declined 10.6% YoY in Q3 2025. $2.4B in acquisitions masked operational weakness. Growth has been inorganic, not fundamental.</t>
  </si>
  <si>
    <t xml:space="preserve">  •  Margin compression accelerating: EBITDA –30.8% YoY, EBIT –46.5% YoY. ROIC declining sharply, signaling capital efficiency erosion as housing fundamentals weaken.</t>
  </si>
  <si>
    <t xml:space="preserve">  •  Stock trades at 9.6x EV/EBITDA vs. industry median 11.5x — discount reflects market concern but DCF suggests further downside given volume headwinds.</t>
  </si>
  <si>
    <t xml:space="preserve">  •  Pitch validated: BLDR declined ~30% following the December 2025 sell recommendation as housing market headwinds materialized.</t>
  </si>
  <si>
    <t>Key Assumptions (live from Assumptions tab)</t>
  </si>
  <si>
    <t>WACC</t>
  </si>
  <si>
    <t>Terminal Growth Rate</t>
  </si>
  <si>
    <t>Beta</t>
  </si>
  <si>
    <t>Tax Rate</t>
  </si>
  <si>
    <t>Shares Outstanding (M)</t>
  </si>
  <si>
    <t>Debt ($M)</t>
  </si>
  <si>
    <t>BLDR — Model Assumptions</t>
  </si>
  <si>
    <t>WACC ASSUMPTIONS</t>
  </si>
  <si>
    <t>Risk-Free Rate (10-yr Treasury)</t>
  </si>
  <si>
    <t>Source: US Treasury, Dec 2025</t>
  </si>
  <si>
    <t>Equity Risk Premium</t>
  </si>
  <si>
    <t>Source: Damodaran, Dec 2025</t>
  </si>
  <si>
    <t>Levered Beta</t>
  </si>
  <si>
    <t>Source: FactSet, Dec 2025</t>
  </si>
  <si>
    <t>Cost of Equity</t>
  </si>
  <si>
    <t>Weight of Equity</t>
  </si>
  <si>
    <t>Pre-Tax Cost of Debt</t>
  </si>
  <si>
    <t>Effective Tax Rate</t>
  </si>
  <si>
    <t>After-Tax Cost of Debt</t>
  </si>
  <si>
    <t>Weight of Debt</t>
  </si>
  <si>
    <t xml:space="preserve">WACC </t>
  </si>
  <si>
    <t>TERMINAL VALUE ASSUMPTIONS</t>
  </si>
  <si>
    <t>Terminal Growth Rate (base)</t>
  </si>
  <si>
    <t>EV/EBITDA Exit Multiple (industry avg)</t>
  </si>
  <si>
    <t>EV/EBITDA Exit Multiple (low end)</t>
  </si>
  <si>
    <t>PROJECTION ASSUMPTIONS (Base Case)</t>
  </si>
  <si>
    <t>Assumption</t>
  </si>
  <si>
    <t>FY2026</t>
  </si>
  <si>
    <t>FY2027</t>
  </si>
  <si>
    <t>FY2028</t>
  </si>
  <si>
    <t>FY2029</t>
  </si>
  <si>
    <t>FY2030</t>
  </si>
  <si>
    <t>Revenue Growth %</t>
  </si>
  <si>
    <t>EBIT Margin %</t>
  </si>
  <si>
    <t>Tax Rate %</t>
  </si>
  <si>
    <t>D&amp;A / Revenue %</t>
  </si>
  <si>
    <t>Capex ($M, fixed)</t>
  </si>
  <si>
    <t>NWC Change ($M)</t>
  </si>
  <si>
    <t>BALANCE SHEET INPUTS</t>
  </si>
  <si>
    <t>Cash &amp; ST Investments ($M)</t>
  </si>
  <si>
    <t>Total Long-Term Debt ($M)</t>
  </si>
  <si>
    <t>Current Share Price ($)</t>
  </si>
  <si>
    <t>Builders FirstSource, Inc. (BLDR) — Historical Financials ($M)</t>
  </si>
  <si>
    <t>Line Item ($M)</t>
  </si>
  <si>
    <t>FY2021</t>
  </si>
  <si>
    <t>FY2022</t>
  </si>
  <si>
    <t>FY2023</t>
  </si>
  <si>
    <t>FY2024</t>
  </si>
  <si>
    <t>FY2025E</t>
  </si>
  <si>
    <t xml:space="preserve"> INCOME STATEMENT </t>
  </si>
  <si>
    <t>Revenue</t>
  </si>
  <si>
    <t xml:space="preserve">  YoY Growth %</t>
  </si>
  <si>
    <t>Gross Profit</t>
  </si>
  <si>
    <t xml:space="preserve">  Gross Margin %</t>
  </si>
  <si>
    <t>EBITDA</t>
  </si>
  <si>
    <t>D&amp;A</t>
  </si>
  <si>
    <t>EBIT</t>
  </si>
  <si>
    <t xml:space="preserve">  EBIT Margin %</t>
  </si>
  <si>
    <t>Net Income</t>
  </si>
  <si>
    <t>BALANCE SHEET</t>
  </si>
  <si>
    <t>Cash &amp; ST Investments</t>
  </si>
  <si>
    <t>Total Debt</t>
  </si>
  <si>
    <t>KEY METRICS</t>
  </si>
  <si>
    <t>Capex</t>
  </si>
  <si>
    <t>ROIC %</t>
  </si>
  <si>
    <t>Net Debt</t>
  </si>
  <si>
    <t>Builders FirstSource (BLDR) — DCF Model  |  SELL  |  Dec 2025</t>
  </si>
  <si>
    <t>\</t>
  </si>
  <si>
    <t>◄ Historical</t>
  </si>
  <si>
    <t>Projected ►</t>
  </si>
  <si>
    <t>FCF Build ($M)</t>
  </si>
  <si>
    <t>FY2026E</t>
  </si>
  <si>
    <t>FY2027E</t>
  </si>
  <si>
    <t>FY2028E</t>
  </si>
  <si>
    <t>FY2029E</t>
  </si>
  <si>
    <t>FY2030E</t>
  </si>
  <si>
    <t>Revenue ($M)</t>
  </si>
  <si>
    <t xml:space="preserve">  Revenue Growth (YoY%)</t>
  </si>
  <si>
    <t>EBIT ($M)</t>
  </si>
  <si>
    <t>NOPAT</t>
  </si>
  <si>
    <t>(+) D&amp;A ($M)</t>
  </si>
  <si>
    <t>(−) Change in NWC ($M)</t>
  </si>
  <si>
    <t>(−) Capex ($M)</t>
  </si>
  <si>
    <t>Unlevered Free Cash Flow</t>
  </si>
  <si>
    <t>Unlevered FCF ($M)</t>
  </si>
  <si>
    <t>Discount Factors</t>
  </si>
  <si>
    <t>Period</t>
  </si>
  <si>
    <t>Discount Factor [1/(1+WACC)^n]</t>
  </si>
  <si>
    <t>Discounted FCF ($M)</t>
  </si>
  <si>
    <t>Sum of Discounted FCFs ($M)</t>
  </si>
  <si>
    <t>Terminal Value Calculations</t>
  </si>
  <si>
    <t>Method 1: Growing Perpetuity</t>
  </si>
  <si>
    <t xml:space="preserve">  Terminal Growth Rate</t>
  </si>
  <si>
    <t xml:space="preserve">  Year 5 FCF ($M)</t>
  </si>
  <si>
    <t xml:space="preserve">  Terminal Value [FCF5×(1+g)/(WACC−g)]</t>
  </si>
  <si>
    <t xml:space="preserve">  Discounted Terminal Value</t>
  </si>
  <si>
    <t xml:space="preserve">  Total Enterprise Value</t>
  </si>
  <si>
    <t xml:space="preserve">  Implied Share Price (Method 1)</t>
  </si>
  <si>
    <t>Method 2: EV/EBITDA Exit Multiple (Industry Avg)</t>
  </si>
  <si>
    <t xml:space="preserve">  Projected FY2030 EBITDA ($M)</t>
  </si>
  <si>
    <t xml:space="preserve">  EV/EBITDA Multiple (industry avg)</t>
  </si>
  <si>
    <t xml:space="preserve">  2030 Terminal EV</t>
  </si>
  <si>
    <t xml:space="preserve">  Discounted Terminal EV</t>
  </si>
  <si>
    <t xml:space="preserve">  Implied Share Price (Method 2 — Avg)</t>
  </si>
  <si>
    <t>Weighted Average Target Price</t>
  </si>
  <si>
    <t>Method 1 Weight</t>
  </si>
  <si>
    <t>Method 2 Weight</t>
  </si>
  <si>
    <t>Current Share Price</t>
  </si>
  <si>
    <t>Implied Upside / (Downside)</t>
  </si>
  <si>
    <t>Sensitivity Analysis — Implied Share Price (WACC vs Terminal Growth Rate)</t>
  </si>
  <si>
    <t>WACC →</t>
  </si>
  <si>
    <t>Builders FirstSource — Scenario Analysis</t>
  </si>
  <si>
    <t>Bear Case</t>
  </si>
  <si>
    <t>Base Case</t>
  </si>
  <si>
    <t>Bull Case</t>
  </si>
  <si>
    <t>Revenue Growth (FY2030)</t>
  </si>
  <si>
    <t>EBIT Margin % (FY2030)</t>
  </si>
  <si>
    <t>Scenario Outputs</t>
  </si>
  <si>
    <t>Implied Share Price</t>
  </si>
  <si>
    <t>vs. Current Price</t>
  </si>
  <si>
    <t>Builders FirstSource (BLDR) — Comparable Company Analysis</t>
  </si>
  <si>
    <t>Source: FactSet, December 2025.  All USD millions.</t>
  </si>
  <si>
    <t>Company</t>
  </si>
  <si>
    <t>Ticker</t>
  </si>
  <si>
    <t>Mkt Cap</t>
  </si>
  <si>
    <t>EV</t>
  </si>
  <si>
    <t>Rev Growth</t>
  </si>
  <si>
    <t>EBITDA Margin</t>
  </si>
  <si>
    <t>EV/EBITDA</t>
  </si>
  <si>
    <t>EV/Sales</t>
  </si>
  <si>
    <t>P/E (NTM)</t>
  </si>
  <si>
    <t>Builders FirstSource</t>
  </si>
  <si>
    <t>UFP Industries</t>
  </si>
  <si>
    <t>UFPI</t>
  </si>
  <si>
    <t>Boise Cascade</t>
  </si>
  <si>
    <t>BCC</t>
  </si>
  <si>
    <t>Louisiana-Pacific</t>
  </si>
  <si>
    <t>LPX</t>
  </si>
  <si>
    <t>Trex Company</t>
  </si>
  <si>
    <t>TREX</t>
  </si>
  <si>
    <t>Mean</t>
  </si>
  <si>
    <t>—</t>
  </si>
  <si>
    <t>Median</t>
  </si>
  <si>
    <t>Builders FirstSource (BLDR) — Valuation Football Field  |  SELL</t>
  </si>
  <si>
    <t>Methodology</t>
  </si>
  <si>
    <t>Low</t>
  </si>
  <si>
    <t>Base</t>
  </si>
  <si>
    <t>High</t>
  </si>
  <si>
    <t>Current Price</t>
  </si>
  <si>
    <t>DCF — Growing Perpetuity</t>
  </si>
  <si>
    <t>DCF — EV/EBITDA Exit (Avg)</t>
  </si>
  <si>
    <t>52-Week Trading Range</t>
  </si>
  <si>
    <t>Analyst Consensus (FactSet)</t>
  </si>
  <si>
    <t>WEIGHTED AVERAGE TARGET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</si>
</sst>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\$#,##0.00"/>
    <numFmt numFmtId="165" formatCode="\+0.0%;\(0.0%\);\-"/>
    <numFmt numFmtId="166" formatCode="0.0%;\(0.0%\);\-"/>
    <numFmt numFmtId="167" formatCode="#,##0.0"/>
    <numFmt numFmtId="168" formatCode="#,##0;\(#,##0\);\-"/>
    <numFmt numFmtId="169" formatCode="0.0%"/>
    <numFmt numFmtId="170" formatCode="0.0\x"/>
    <numFmt numFmtId="171" formatCode="0.0000"/>
  </numFmts>
  <fonts count="26">
    <font>
      <sz val="11.0"/>
      <color theme="1"/>
      <name val="Calibri"/>
      <scheme val="minor"/>
    </font>
    <font>
      <b/>
      <sz val="36.0"/>
      <color rgb="FF833C00"/>
      <name val="Arial"/>
    </font>
    <font>
      <sz val="12.0"/>
      <color rgb="FF595959"/>
      <name val="Arial"/>
    </font>
    <font>
      <sz val="11.0"/>
      <color theme="1"/>
      <name val="Calibri"/>
    </font>
    <font/>
    <font>
      <sz val="9.0"/>
      <color rgb="FF595959"/>
      <name val="Arial"/>
    </font>
    <font>
      <b/>
      <sz val="13.0"/>
      <color rgb="FF833C00"/>
      <name val="Arial"/>
    </font>
    <font>
      <b/>
      <sz val="10.0"/>
      <color rgb="FF833C00"/>
      <name val="Arial"/>
    </font>
    <font>
      <b/>
      <sz val="10.0"/>
      <color rgb="FF000000"/>
      <name val="Arial"/>
    </font>
    <font>
      <b/>
      <sz val="9.0"/>
      <color rgb="FFFFFFFF"/>
      <name val="Arial"/>
    </font>
    <font>
      <sz val="10.0"/>
      <color rgb="FF000000"/>
      <name val="Arial"/>
    </font>
    <font>
      <sz val="10.0"/>
      <color rgb="FF595959"/>
      <name val="Arial"/>
    </font>
    <font>
      <b/>
      <sz val="13.0"/>
      <color rgb="FF2E75B6"/>
      <name val="Arial"/>
    </font>
    <font>
      <sz val="8.0"/>
      <color rgb="FF595959"/>
      <name val="Arial"/>
    </font>
    <font>
      <sz val="11.0"/>
      <color rgb="FF000000"/>
      <name val="Calibri"/>
    </font>
    <font>
      <b/>
      <sz val="10.0"/>
      <color rgb="FF7F6000"/>
      <name val="Arial"/>
    </font>
    <font>
      <sz val="10.0"/>
      <color rgb="FF008000"/>
      <name val="Arial"/>
    </font>
    <font>
      <b/>
      <sz val="11.0"/>
      <color rgb="FF833C00"/>
      <name val="Arial"/>
    </font>
    <font>
      <b/>
      <sz val="11.0"/>
      <color rgb="FF7F6000"/>
      <name val="Arial"/>
    </font>
    <font>
      <b/>
      <sz val="11.0"/>
      <color rgb="FF375623"/>
      <name val="Arial"/>
    </font>
    <font>
      <sz val="10.0"/>
      <color rgb="FF7F600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rgb="FF008000"/>
      <name val="Arial"/>
    </font>
    <font>
      <b/>
      <sz val="13.0"/>
      <color rgb="FF7F6000"/>
      <name val="Arial"/>
    </font>
    <font>
      <b/>
      <sz val="12.0"/>
      <color rgb="FF833C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A32020"/>
        <bgColor rgb="FFA32020"/>
      </patternFill>
    </fill>
    <fill>
      <patternFill patternType="solid">
        <fgColor rgb="FF1F6B2A"/>
        <bgColor rgb="FF1F6B2A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8" numFmtId="164" xfId="0" applyAlignment="1" applyBorder="1" applyFont="1" applyNumberFormat="1">
      <alignment horizontal="right" shrinkToFit="0" vertical="center" wrapText="0"/>
    </xf>
    <xf borderId="4" fillId="3" fontId="7" numFmtId="165" xfId="0" applyAlignment="1" applyBorder="1" applyFont="1" applyNumberFormat="1">
      <alignment horizontal="right" shrinkToFit="0" vertical="center" wrapText="0"/>
    </xf>
    <xf borderId="4" fillId="4" fontId="8" numFmtId="164" xfId="0" applyAlignment="1" applyBorder="1" applyFont="1" applyNumberFormat="1">
      <alignment horizontal="righ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ill="1" applyFont="1">
      <alignment horizontal="left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6" fontId="8" numFmtId="166" xfId="0" applyAlignment="1" applyBorder="1" applyFont="1" applyNumberFormat="1">
      <alignment horizontal="right" shrinkToFit="0" vertical="center" wrapText="0"/>
    </xf>
    <xf borderId="4" fillId="7" fontId="11" numFmtId="0" xfId="0" applyAlignment="1" applyBorder="1" applyFont="1">
      <alignment horizontal="left" shrinkToFit="0" vertical="center" wrapText="0"/>
    </xf>
    <xf borderId="4" fillId="7" fontId="8" numFmtId="166" xfId="0" applyAlignment="1" applyBorder="1" applyFont="1" applyNumberFormat="1">
      <alignment horizontal="right" shrinkToFit="0" vertical="center" wrapText="0"/>
    </xf>
    <xf borderId="4" fillId="6" fontId="8" numFmtId="2" xfId="0" applyAlignment="1" applyBorder="1" applyFont="1" applyNumberFormat="1">
      <alignment horizontal="right" shrinkToFit="0" vertical="center" wrapText="0"/>
    </xf>
    <xf borderId="4" fillId="6" fontId="8" numFmtId="167" xfId="0" applyAlignment="1" applyBorder="1" applyFont="1" applyNumberFormat="1">
      <alignment horizontal="right" shrinkToFit="0" vertical="center" wrapText="0"/>
    </xf>
    <xf borderId="4" fillId="7" fontId="8" numFmtId="168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readingOrder="0" shrinkToFit="0" vertical="bottom" wrapText="0"/>
    </xf>
    <xf borderId="4" fillId="6" fontId="10" numFmtId="0" xfId="0" applyAlignment="1" applyBorder="1" applyFont="1">
      <alignment horizontal="left" shrinkToFit="0" vertical="center" wrapText="0"/>
    </xf>
    <xf borderId="4" fillId="6" fontId="10" numFmtId="169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4" fillId="7" fontId="10" numFmtId="0" xfId="0" applyAlignment="1" applyBorder="1" applyFont="1">
      <alignment horizontal="left" shrinkToFit="0" vertical="center" wrapText="0"/>
    </xf>
    <xf borderId="4" fillId="7" fontId="10" numFmtId="169" xfId="0" applyAlignment="1" applyBorder="1" applyFont="1" applyNumberFormat="1">
      <alignment horizontal="right" shrinkToFit="0" vertical="center" wrapText="0"/>
    </xf>
    <xf borderId="4" fillId="6" fontId="10" numFmtId="2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left" readingOrder="0" shrinkToFit="0" vertical="center" wrapText="0"/>
    </xf>
    <xf borderId="4" fillId="7" fontId="10" numFmtId="170" xfId="0" applyAlignment="1" applyBorder="1" applyFont="1" applyNumberFormat="1">
      <alignment horizontal="right" shrinkToFit="0" vertical="center" wrapText="0"/>
    </xf>
    <xf borderId="4" fillId="6" fontId="10" numFmtId="170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center" shrinkToFit="0" vertical="center" wrapText="1"/>
    </xf>
    <xf borderId="4" fillId="7" fontId="10" numFmtId="10" xfId="0" applyAlignment="1" applyBorder="1" applyFont="1" applyNumberFormat="1">
      <alignment horizontal="right" shrinkToFit="0" vertical="center" wrapText="0"/>
    </xf>
    <xf borderId="4" fillId="6" fontId="10" numFmtId="168" xfId="0" applyAlignment="1" applyBorder="1" applyFont="1" applyNumberFormat="1">
      <alignment horizontal="right" shrinkToFit="0" vertical="center" wrapText="0"/>
    </xf>
    <xf borderId="4" fillId="7" fontId="10" numFmtId="168" xfId="0" applyAlignment="1" applyBorder="1" applyFont="1" applyNumberFormat="1">
      <alignment horizontal="right" shrinkToFit="0" vertical="center" wrapText="0"/>
    </xf>
    <xf borderId="4" fillId="6" fontId="10" numFmtId="167" xfId="0" applyAlignment="1" applyBorder="1" applyFont="1" applyNumberFormat="1">
      <alignment horizontal="right" shrinkToFit="0" vertical="center" wrapText="0"/>
    </xf>
    <xf borderId="4" fillId="7" fontId="10" numFmtId="164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1" fillId="8" fontId="9" numFmtId="0" xfId="0" applyAlignment="1" applyBorder="1" applyFill="1" applyFont="1">
      <alignment horizontal="left" readingOrder="0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4" fillId="6" fontId="14" numFmtId="0" xfId="0" applyAlignment="1" applyBorder="1" applyFont="1">
      <alignment shrinkToFit="0" vertical="bottom" wrapText="0"/>
    </xf>
    <xf borderId="4" fillId="6" fontId="10" numFmtId="166" xfId="0" applyAlignment="1" applyBorder="1" applyFont="1" applyNumberFormat="1">
      <alignment horizontal="right" shrinkToFit="0" vertical="center" wrapText="0"/>
    </xf>
    <xf borderId="0" fillId="0" fontId="10" numFmtId="166" xfId="0" applyAlignment="1" applyFont="1" applyNumberFormat="1">
      <alignment horizontal="right" shrinkToFit="0" vertical="center" wrapText="0"/>
    </xf>
    <xf borderId="4" fillId="7" fontId="14" numFmtId="0" xfId="0" applyAlignment="1" applyBorder="1" applyFont="1">
      <alignment shrinkToFit="0" vertical="bottom" wrapText="0"/>
    </xf>
    <xf borderId="4" fillId="7" fontId="10" numFmtId="166" xfId="0" applyAlignment="1" applyBorder="1" applyFont="1" applyNumberFormat="1">
      <alignment horizontal="right" shrinkToFit="0" vertical="center" wrapText="0"/>
    </xf>
    <xf borderId="1" fillId="8" fontId="9" numFmtId="0" xfId="0" applyAlignment="1" applyBorder="1" applyFont="1">
      <alignment horizontal="center" shrinkToFit="0" vertical="center" wrapText="0"/>
    </xf>
    <xf borderId="1" fillId="9" fontId="9" numFmtId="0" xfId="0" applyAlignment="1" applyBorder="1" applyFill="1" applyFont="1">
      <alignment horizontal="center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6" fontId="8" numFmtId="168" xfId="0" applyAlignment="1" applyBorder="1" applyFont="1" applyNumberFormat="1">
      <alignment horizontal="right" shrinkToFit="0" vertical="center" wrapText="0"/>
    </xf>
    <xf borderId="4" fillId="6" fontId="10" numFmtId="0" xfId="0" applyAlignment="1" applyBorder="1" applyFont="1">
      <alignment horizontal="left" readingOrder="0" shrinkToFit="0" vertical="center" wrapText="0"/>
    </xf>
    <xf borderId="4" fillId="6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0" numFmtId="1" xfId="0" applyAlignment="1" applyFont="1" applyNumberFormat="1">
      <alignment horizontal="right" shrinkToFit="0" vertical="center" wrapText="0"/>
    </xf>
    <xf borderId="4" fillId="6" fontId="10" numFmtId="171" xfId="0" applyAlignment="1" applyBorder="1" applyFont="1" applyNumberFormat="1">
      <alignment horizontal="right" shrinkToFit="0" vertical="center" wrapText="0"/>
    </xf>
    <xf borderId="4" fillId="10" fontId="15" numFmtId="168" xfId="0" applyAlignment="1" applyBorder="1" applyFill="1" applyFont="1" applyNumberFormat="1">
      <alignment horizontal="right" shrinkToFit="0" vertical="center" wrapText="0"/>
    </xf>
    <xf borderId="4" fillId="7" fontId="3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shrinkToFit="0" vertical="center" wrapText="0"/>
    </xf>
    <xf borderId="4" fillId="10" fontId="8" numFmtId="164" xfId="0" applyAlignment="1" applyBorder="1" applyFont="1" applyNumberFormat="1">
      <alignment horizontal="right" shrinkToFit="0" vertical="center" wrapText="0"/>
    </xf>
    <xf borderId="0" fillId="0" fontId="10" numFmtId="169" xfId="0" applyAlignment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4" fillId="3" fontId="8" numFmtId="165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8" fontId="9" numFmtId="10" xfId="0" applyAlignment="1" applyBorder="1" applyFont="1" applyNumberFormat="1">
      <alignment horizontal="center" shrinkToFit="0" vertical="center" wrapText="0"/>
    </xf>
    <xf borderId="4" fillId="8" fontId="9" numFmtId="169" xfId="0" applyAlignment="1" applyBorder="1" applyFont="1" applyNumberFormat="1">
      <alignment horizontal="center" shrinkToFit="0" vertical="center" wrapText="0"/>
    </xf>
    <xf borderId="4" fillId="6" fontId="10" numFmtId="164" xfId="0" applyAlignment="1" applyBorder="1" applyFont="1" applyNumberFormat="1">
      <alignment horizontal="right" shrinkToFit="0" vertical="center" wrapText="0"/>
    </xf>
    <xf borderId="4" fillId="10" fontId="15" numFmtId="164" xfId="0" applyAlignment="1" applyBorder="1" applyFont="1" applyNumberFormat="1">
      <alignment horizontal="right" shrinkToFit="0" vertical="center" wrapText="0"/>
    </xf>
    <xf borderId="4" fillId="11" fontId="9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ill="1" applyFont="1">
      <alignment horizontal="center" shrinkToFit="0" vertical="center" wrapText="1"/>
    </xf>
    <xf borderId="4" fillId="6" fontId="16" numFmtId="169" xfId="0" applyAlignment="1" applyBorder="1" applyFont="1" applyNumberFormat="1">
      <alignment horizontal="right" shrinkToFit="0" vertical="center" wrapText="0"/>
    </xf>
    <xf borderId="4" fillId="7" fontId="16" numFmtId="169" xfId="0" applyAlignment="1" applyBorder="1" applyFont="1" applyNumberFormat="1">
      <alignment horizontal="right" shrinkToFit="0" vertical="center" wrapText="0"/>
    </xf>
    <xf borderId="4" fillId="3" fontId="17" numFmtId="164" xfId="0" applyAlignment="1" applyBorder="1" applyFont="1" applyNumberFormat="1">
      <alignment horizontal="right" shrinkToFit="0" vertical="center" wrapText="0"/>
    </xf>
    <xf borderId="4" fillId="10" fontId="18" numFmtId="164" xfId="0" applyAlignment="1" applyBorder="1" applyFont="1" applyNumberFormat="1">
      <alignment horizontal="right" shrinkToFit="0" vertical="center" wrapText="0"/>
    </xf>
    <xf borderId="4" fillId="13" fontId="19" numFmtId="164" xfId="0" applyAlignment="1" applyBorder="1" applyFill="1" applyFont="1" applyNumberFormat="1">
      <alignment horizontal="right" shrinkToFit="0" vertical="center" wrapText="0"/>
    </xf>
    <xf borderId="4" fillId="10" fontId="8" numFmtId="165" xfId="0" applyAlignment="1" applyBorder="1" applyFont="1" applyNumberFormat="1">
      <alignment horizontal="right" shrinkToFit="0" vertical="center" wrapText="0"/>
    </xf>
    <xf borderId="4" fillId="13" fontId="8" numFmtId="165" xfId="0" applyAlignment="1" applyBorder="1" applyFont="1" applyNumberFormat="1">
      <alignment horizontal="right" shrinkToFit="0" vertical="center" wrapText="0"/>
    </xf>
    <xf borderId="4" fillId="10" fontId="15" numFmtId="0" xfId="0" applyAlignment="1" applyBorder="1" applyFont="1">
      <alignment horizontal="left" shrinkToFit="0" vertical="center" wrapText="0"/>
    </xf>
    <xf borderId="4" fillId="10" fontId="20" numFmtId="0" xfId="0" applyAlignment="1" applyBorder="1" applyFont="1">
      <alignment horizontal="center" shrinkToFit="0" vertical="center" wrapText="0"/>
    </xf>
    <xf borderId="4" fillId="10" fontId="10" numFmtId="166" xfId="0" applyAlignment="1" applyBorder="1" applyFont="1" applyNumberFormat="1">
      <alignment horizontal="right" shrinkToFit="0" vertical="center" wrapText="0"/>
    </xf>
    <xf borderId="4" fillId="10" fontId="10" numFmtId="170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5" fontId="21" numFmtId="0" xfId="0" applyAlignment="1" applyBorder="1" applyFont="1">
      <alignment horizontal="left" shrinkToFit="0" vertical="center" wrapText="0"/>
    </xf>
    <xf borderId="4" fillId="5" fontId="22" numFmtId="0" xfId="0" applyAlignment="1" applyBorder="1" applyFont="1">
      <alignment horizontal="center" shrinkToFit="0" vertical="center" wrapText="0"/>
    </xf>
    <xf borderId="4" fillId="5" fontId="21" numFmtId="168" xfId="0" applyAlignment="1" applyBorder="1" applyFont="1" applyNumberFormat="1">
      <alignment horizontal="right" shrinkToFit="0" vertical="center" wrapText="0"/>
    </xf>
    <xf borderId="4" fillId="5" fontId="3" numFmtId="0" xfId="0" applyAlignment="1" applyBorder="1" applyFont="1">
      <alignment shrinkToFit="0" vertical="bottom" wrapText="0"/>
    </xf>
    <xf borderId="4" fillId="5" fontId="21" numFmtId="170" xfId="0" applyAlignment="1" applyBorder="1" applyFont="1" applyNumberFormat="1">
      <alignment horizontal="right" shrinkToFit="0" vertical="center" wrapText="0"/>
    </xf>
    <xf borderId="4" fillId="5" fontId="21" numFmtId="166" xfId="0" applyAlignment="1" applyBorder="1" applyFont="1" applyNumberFormat="1">
      <alignment horizontal="right" shrinkToFit="0" vertical="center" wrapText="0"/>
    </xf>
    <xf borderId="4" fillId="6" fontId="16" numFmtId="164" xfId="0" applyAlignment="1" applyBorder="1" applyFont="1" applyNumberFormat="1">
      <alignment horizontal="right" shrinkToFit="0" vertical="center" wrapText="0"/>
    </xf>
    <xf borderId="4" fillId="10" fontId="23" numFmtId="164" xfId="0" applyAlignment="1" applyBorder="1" applyFont="1" applyNumberFormat="1">
      <alignment horizontal="right" shrinkToFit="0" vertical="center" wrapText="0"/>
    </xf>
    <xf borderId="4" fillId="7" fontId="16" numFmtId="164" xfId="0" applyAlignment="1" applyBorder="1" applyFont="1" applyNumberFormat="1">
      <alignment horizontal="right" shrinkToFit="0" vertical="center" wrapText="0"/>
    </xf>
    <xf borderId="4" fillId="10" fontId="24" numFmtId="164" xfId="0" applyAlignment="1" applyBorder="1" applyFont="1" applyNumberFormat="1">
      <alignment horizontal="right" shrinkToFit="0" vertical="center" wrapText="0"/>
    </xf>
    <xf borderId="4" fillId="3" fontId="25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Scenario Analysis — Implied Share Price vs. Current ($107.28)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Implied Share Price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Scenarios!$C$5:$E$5</c:f>
            </c:strRef>
          </c:cat>
          <c:val>
            <c:numRef>
              <c:f>Scenarios!$C$13:$E$13</c:f>
              <c:numCache/>
            </c:numRef>
          </c:val>
        </c:ser>
        <c:axId val="1957915524"/>
        <c:axId val="1253365826"/>
      </c:barChart>
      <c:catAx>
        <c:axId val="1957915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3365826"/>
      </c:catAx>
      <c:valAx>
        <c:axId val="1253365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791552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EV/EBITDA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EV/EBITDA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Comps!$C$6:$C$10</c:f>
            </c:strRef>
          </c:cat>
          <c:val>
            <c:numRef>
              <c:f>Comps!$I$6:$I$10</c:f>
              <c:numCache/>
            </c:numRef>
          </c:val>
        </c:ser>
        <c:axId val="1824493274"/>
        <c:axId val="134248928"/>
      </c:barChart>
      <c:catAx>
        <c:axId val="1824493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248928"/>
      </c:catAx>
      <c:valAx>
        <c:axId val="134248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EV/EBITDA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44932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Football Field — Valuation Range vs. Current Price ($107.28)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Low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'Football Field'!$B$6:$B$9</c:f>
            </c:strRef>
          </c:cat>
          <c:val>
            <c:numRef>
              <c:f>'Football Field'!$C$6:$C$9</c:f>
              <c:numCache/>
            </c:numRef>
          </c:val>
        </c:ser>
        <c:ser>
          <c:idx val="1"/>
          <c:order val="1"/>
          <c:tx>
            <c:v>High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'Football Field'!$B$6:$B$9</c:f>
            </c:strRef>
          </c:cat>
          <c:val>
            <c:numRef>
              <c:f>'Football Field'!$E$6:$E$9</c:f>
              <c:numCache/>
            </c:numRef>
          </c:val>
        </c:ser>
        <c:axId val="1298534963"/>
        <c:axId val="155121214"/>
      </c:barChart>
      <c:catAx>
        <c:axId val="12985349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121214"/>
      </c:catAx>
      <c:valAx>
        <c:axId val="155121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8534963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6143625" cy="4524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5457825" cy="3762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7277100" cy="4524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6" width="16.0"/>
    <col customWidth="1" min="7" max="26" width="8.71"/>
  </cols>
  <sheetData>
    <row r="1" ht="18.0" customHeight="1"/>
    <row r="2" ht="49.5" customHeight="1">
      <c r="B2" s="1" t="s">
        <v>0</v>
      </c>
    </row>
    <row r="3" ht="21.75" customHeight="1">
      <c r="B3" s="2" t="s">
        <v>1</v>
      </c>
    </row>
    <row r="4" ht="3.75" customHeight="1">
      <c r="B4" s="3"/>
      <c r="C4" s="4"/>
      <c r="D4" s="4"/>
      <c r="E4" s="4"/>
      <c r="F4" s="5"/>
    </row>
    <row r="5" ht="18.0" customHeight="1"/>
    <row r="6" ht="15.75" customHeight="1">
      <c r="B6" s="6" t="s">
        <v>2</v>
      </c>
      <c r="C6" s="6" t="s">
        <v>3</v>
      </c>
      <c r="D6" s="6" t="s">
        <v>4</v>
      </c>
      <c r="E6" s="6" t="s">
        <v>5</v>
      </c>
      <c r="F6" s="7" t="s">
        <v>6</v>
      </c>
    </row>
    <row r="7" ht="27.75" customHeight="1">
      <c r="B7" s="8" t="s">
        <v>7</v>
      </c>
      <c r="C7" s="9" t="s">
        <v>8</v>
      </c>
      <c r="D7" s="10">
        <f>DCF!C46</f>
        <v>82.46571645</v>
      </c>
      <c r="E7" s="11">
        <f>DCF!C48</f>
        <v>-0.2313039108</v>
      </c>
      <c r="F7" s="12">
        <f>Assumptions!C34</f>
        <v>107.28</v>
      </c>
    </row>
    <row r="8" ht="18.0" customHeight="1"/>
    <row r="9" ht="15.0" customHeight="1">
      <c r="B9" s="13" t="s">
        <v>9</v>
      </c>
      <c r="C9" s="4"/>
      <c r="D9" s="4"/>
      <c r="E9" s="4"/>
      <c r="F9" s="5"/>
    </row>
    <row r="10" ht="30.0" customHeight="1">
      <c r="B10" s="14" t="s">
        <v>10</v>
      </c>
      <c r="C10" s="4"/>
      <c r="D10" s="4"/>
      <c r="E10" s="4"/>
      <c r="F10" s="5"/>
    </row>
    <row r="11" ht="30.0" customHeight="1">
      <c r="B11" s="15" t="s">
        <v>11</v>
      </c>
      <c r="C11" s="4"/>
      <c r="D11" s="4"/>
      <c r="E11" s="4"/>
      <c r="F11" s="5"/>
    </row>
    <row r="12" ht="30.0" customHeight="1">
      <c r="B12" s="14" t="s">
        <v>12</v>
      </c>
      <c r="C12" s="4"/>
      <c r="D12" s="4"/>
      <c r="E12" s="4"/>
      <c r="F12" s="5"/>
    </row>
    <row r="13" ht="30.0" customHeight="1">
      <c r="B13" s="15" t="s">
        <v>13</v>
      </c>
      <c r="C13" s="4"/>
      <c r="D13" s="4"/>
      <c r="E13" s="4"/>
      <c r="F13" s="5"/>
    </row>
    <row r="14" ht="30.0" customHeight="1">
      <c r="B14" s="14" t="s">
        <v>14</v>
      </c>
      <c r="C14" s="4"/>
      <c r="D14" s="4"/>
      <c r="E14" s="4"/>
      <c r="F14" s="5"/>
    </row>
    <row r="15" ht="18.0" customHeight="1"/>
    <row r="16" ht="15.0" customHeight="1">
      <c r="B16" s="13" t="s">
        <v>15</v>
      </c>
      <c r="C16" s="4"/>
      <c r="D16" s="4"/>
      <c r="E16" s="4"/>
      <c r="F16" s="5"/>
    </row>
    <row r="17" ht="18.0" customHeight="1">
      <c r="B17" s="16" t="s">
        <v>16</v>
      </c>
      <c r="C17" s="17">
        <f>Assumptions!C14</f>
        <v>0.08511379</v>
      </c>
    </row>
    <row r="18" ht="18.0" customHeight="1">
      <c r="B18" s="18" t="s">
        <v>17</v>
      </c>
      <c r="C18" s="19">
        <f>Assumptions!C17</f>
        <v>0.02</v>
      </c>
    </row>
    <row r="19" ht="18.0" customHeight="1">
      <c r="B19" s="16" t="s">
        <v>18</v>
      </c>
      <c r="C19" s="20">
        <f>Assumptions!C7</f>
        <v>1.09</v>
      </c>
    </row>
    <row r="20" ht="18.0" customHeight="1">
      <c r="B20" s="18" t="s">
        <v>19</v>
      </c>
      <c r="C20" s="19">
        <f>Assumptions!C25</f>
        <v>0.22</v>
      </c>
    </row>
    <row r="21" ht="18.0" customHeight="1">
      <c r="B21" s="16" t="s">
        <v>20</v>
      </c>
      <c r="C21" s="21">
        <f>Assumptions!C33</f>
        <v>110.6</v>
      </c>
    </row>
    <row r="22" ht="18.0" customHeight="1">
      <c r="B22" s="18" t="s">
        <v>21</v>
      </c>
      <c r="C22" s="22">
        <f>Assumptions!C32</f>
        <v>4255</v>
      </c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3:F13"/>
    <mergeCell ref="B14:F14"/>
    <mergeCell ref="B16:F16"/>
    <mergeCell ref="B2:F2"/>
    <mergeCell ref="B3:F3"/>
    <mergeCell ref="B4:F4"/>
    <mergeCell ref="B9:F9"/>
    <mergeCell ref="B10:F10"/>
    <mergeCell ref="B11:F11"/>
    <mergeCell ref="B12:F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7" width="12.0"/>
    <col customWidth="1" min="8" max="26" width="8.71"/>
  </cols>
  <sheetData>
    <row r="2" ht="27.75" customHeight="1">
      <c r="B2" s="23" t="s">
        <v>22</v>
      </c>
    </row>
    <row r="4" ht="15.0" customHeight="1">
      <c r="B4" s="13" t="s">
        <v>23</v>
      </c>
      <c r="C4" s="4"/>
      <c r="D4" s="5"/>
    </row>
    <row r="5" ht="15.75" customHeight="1">
      <c r="B5" s="24" t="s">
        <v>24</v>
      </c>
      <c r="C5" s="25">
        <v>0.0409</v>
      </c>
      <c r="D5" s="26" t="s">
        <v>25</v>
      </c>
    </row>
    <row r="6" ht="15.75" customHeight="1">
      <c r="B6" s="27" t="s">
        <v>26</v>
      </c>
      <c r="C6" s="28">
        <v>0.055</v>
      </c>
      <c r="D6" s="26" t="s">
        <v>27</v>
      </c>
    </row>
    <row r="7" ht="15.75" customHeight="1">
      <c r="B7" s="24" t="s">
        <v>28</v>
      </c>
      <c r="C7" s="29">
        <v>1.09</v>
      </c>
      <c r="D7" s="26" t="s">
        <v>29</v>
      </c>
    </row>
    <row r="8" ht="15.75" customHeight="1">
      <c r="B8" s="30" t="s">
        <v>30</v>
      </c>
      <c r="C8" s="28">
        <f>C5+C7*C6</f>
        <v>0.10085</v>
      </c>
      <c r="D8" s="26"/>
    </row>
    <row r="9" ht="15.75" customHeight="1">
      <c r="B9" s="24" t="s">
        <v>31</v>
      </c>
      <c r="C9" s="25">
        <v>0.713</v>
      </c>
      <c r="D9" s="26"/>
    </row>
    <row r="10" ht="15.75" customHeight="1">
      <c r="B10" s="27" t="s">
        <v>32</v>
      </c>
      <c r="C10" s="28">
        <v>0.059</v>
      </c>
      <c r="D10" s="26"/>
    </row>
    <row r="11" ht="15.75" customHeight="1">
      <c r="B11" s="24" t="s">
        <v>33</v>
      </c>
      <c r="C11" s="25">
        <v>0.22</v>
      </c>
      <c r="D11" s="26"/>
    </row>
    <row r="12" ht="15.75" customHeight="1">
      <c r="B12" s="30" t="s">
        <v>34</v>
      </c>
      <c r="C12" s="28">
        <f>C10*(1-C11)</f>
        <v>0.04602</v>
      </c>
      <c r="D12" s="26"/>
    </row>
    <row r="13" ht="15.75" customHeight="1">
      <c r="B13" s="24" t="s">
        <v>35</v>
      </c>
      <c r="C13" s="25">
        <v>0.287</v>
      </c>
      <c r="D13" s="26"/>
    </row>
    <row r="14" ht="15.75" customHeight="1">
      <c r="B14" s="30" t="s">
        <v>36</v>
      </c>
      <c r="C14" s="28">
        <f>C8*C9+C12*C13</f>
        <v>0.08511379</v>
      </c>
      <c r="D14" s="26"/>
    </row>
    <row r="16" ht="15.0" customHeight="1">
      <c r="B16" s="13" t="s">
        <v>37</v>
      </c>
      <c r="C16" s="4"/>
      <c r="D16" s="5"/>
    </row>
    <row r="17" ht="15.75" customHeight="1">
      <c r="B17" s="24" t="s">
        <v>38</v>
      </c>
      <c r="C17" s="25">
        <v>0.02</v>
      </c>
    </row>
    <row r="18" ht="15.75" customHeight="1">
      <c r="B18" s="27" t="s">
        <v>39</v>
      </c>
      <c r="C18" s="31">
        <v>11.5</v>
      </c>
    </row>
    <row r="19" ht="15.75" customHeight="1">
      <c r="B19" s="24" t="s">
        <v>40</v>
      </c>
      <c r="C19" s="32">
        <v>8.1</v>
      </c>
    </row>
    <row r="21" ht="15.0" customHeight="1">
      <c r="B21" s="13" t="s">
        <v>41</v>
      </c>
      <c r="C21" s="4"/>
      <c r="D21" s="5"/>
    </row>
    <row r="22" ht="19.5" customHeight="1">
      <c r="B22" s="33" t="s">
        <v>42</v>
      </c>
      <c r="C22" s="33" t="s">
        <v>43</v>
      </c>
      <c r="D22" s="33" t="s">
        <v>44</v>
      </c>
      <c r="E22" s="33" t="s">
        <v>45</v>
      </c>
      <c r="F22" s="33" t="s">
        <v>46</v>
      </c>
      <c r="G22" s="33" t="s">
        <v>47</v>
      </c>
    </row>
    <row r="23" ht="15.75" customHeight="1">
      <c r="B23" s="24" t="s">
        <v>48</v>
      </c>
      <c r="C23" s="25">
        <v>-0.027</v>
      </c>
      <c r="D23" s="25">
        <v>0.059</v>
      </c>
      <c r="E23" s="25">
        <v>-0.016</v>
      </c>
      <c r="F23" s="25">
        <v>0.005</v>
      </c>
      <c r="G23" s="25">
        <v>0.016</v>
      </c>
    </row>
    <row r="24" ht="15.75" customHeight="1">
      <c r="B24" s="27" t="s">
        <v>49</v>
      </c>
      <c r="C24" s="28">
        <v>0.042</v>
      </c>
      <c r="D24" s="28">
        <v>0.064</v>
      </c>
      <c r="E24" s="28">
        <v>0.053</v>
      </c>
      <c r="F24" s="28">
        <v>0.053</v>
      </c>
      <c r="G24" s="28">
        <v>0.057</v>
      </c>
    </row>
    <row r="25" ht="15.75" customHeight="1">
      <c r="B25" s="24" t="s">
        <v>50</v>
      </c>
      <c r="C25" s="25">
        <v>0.22</v>
      </c>
      <c r="D25" s="25">
        <v>0.22</v>
      </c>
      <c r="E25" s="25">
        <v>0.22</v>
      </c>
      <c r="F25" s="25">
        <v>0.22</v>
      </c>
      <c r="G25" s="25">
        <v>0.22</v>
      </c>
    </row>
    <row r="26" ht="15.75" customHeight="1">
      <c r="B26" s="27" t="s">
        <v>51</v>
      </c>
      <c r="C26" s="34">
        <v>0.039</v>
      </c>
      <c r="D26" s="34">
        <v>0.036</v>
      </c>
      <c r="E26" s="34">
        <v>0.036</v>
      </c>
      <c r="F26" s="34">
        <v>0.036</v>
      </c>
      <c r="G26" s="34">
        <v>0.036</v>
      </c>
    </row>
    <row r="27" ht="15.75" customHeight="1">
      <c r="B27" s="24" t="s">
        <v>52</v>
      </c>
      <c r="C27" s="35">
        <v>-360.0</v>
      </c>
      <c r="D27" s="35">
        <v>-382.0</v>
      </c>
      <c r="E27" s="35">
        <v>-382.0</v>
      </c>
      <c r="F27" s="35">
        <v>-382.0</v>
      </c>
      <c r="G27" s="35">
        <v>-382.0</v>
      </c>
    </row>
    <row r="28" ht="15.75" customHeight="1">
      <c r="B28" s="27" t="s">
        <v>53</v>
      </c>
      <c r="C28" s="36">
        <v>35.0</v>
      </c>
      <c r="D28" s="36">
        <v>-73.0</v>
      </c>
      <c r="E28" s="36">
        <v>21.0</v>
      </c>
      <c r="F28" s="36">
        <v>-7.0</v>
      </c>
      <c r="G28" s="36">
        <v>-21.0</v>
      </c>
    </row>
    <row r="29" ht="15.75" customHeight="1"/>
    <row r="30" ht="15.0" customHeight="1">
      <c r="B30" s="13" t="s">
        <v>54</v>
      </c>
      <c r="C30" s="4"/>
      <c r="D30" s="5"/>
    </row>
    <row r="31" ht="15.75" customHeight="1">
      <c r="B31" s="24" t="s">
        <v>55</v>
      </c>
      <c r="C31" s="35">
        <v>296.0</v>
      </c>
    </row>
    <row r="32" ht="15.75" customHeight="1">
      <c r="B32" s="27" t="s">
        <v>56</v>
      </c>
      <c r="C32" s="36">
        <v>4255.0</v>
      </c>
    </row>
    <row r="33" ht="15.75" customHeight="1">
      <c r="B33" s="24" t="s">
        <v>20</v>
      </c>
      <c r="C33" s="37">
        <v>110.6</v>
      </c>
    </row>
    <row r="34" ht="15.75" customHeight="1">
      <c r="B34" s="27" t="s">
        <v>57</v>
      </c>
      <c r="C34" s="38">
        <v>107.28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D2"/>
    <mergeCell ref="B4:D4"/>
    <mergeCell ref="B16:D16"/>
    <mergeCell ref="B21:D21"/>
    <mergeCell ref="B30:D3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7" width="14.0"/>
    <col customWidth="1" min="8" max="8" width="2.0"/>
    <col customWidth="1" min="9" max="26" width="8.71"/>
  </cols>
  <sheetData>
    <row r="2" ht="27.75" customHeight="1">
      <c r="B2" s="39" t="s">
        <v>58</v>
      </c>
    </row>
    <row r="3" ht="12.75" customHeight="1">
      <c r="B3" s="40"/>
    </row>
    <row r="5" ht="18.0" customHeight="1">
      <c r="B5" s="33" t="s">
        <v>59</v>
      </c>
      <c r="C5" s="33" t="s">
        <v>60</v>
      </c>
      <c r="D5" s="33" t="s">
        <v>61</v>
      </c>
      <c r="E5" s="33" t="s">
        <v>62</v>
      </c>
      <c r="F5" s="33" t="s">
        <v>63</v>
      </c>
      <c r="G5" s="33" t="s">
        <v>64</v>
      </c>
    </row>
    <row r="6" ht="15.0" customHeight="1">
      <c r="B6" s="41" t="s">
        <v>65</v>
      </c>
      <c r="C6" s="4"/>
      <c r="D6" s="4"/>
      <c r="E6" s="4"/>
      <c r="F6" s="4"/>
      <c r="G6" s="5"/>
    </row>
    <row r="7" ht="15.0" customHeight="1">
      <c r="B7" s="42" t="s">
        <v>66</v>
      </c>
      <c r="C7" s="22">
        <v>11839.0</v>
      </c>
      <c r="D7" s="22">
        <v>22726.0</v>
      </c>
      <c r="E7" s="22">
        <v>17097.0</v>
      </c>
      <c r="F7" s="22">
        <v>16400.0</v>
      </c>
      <c r="G7" s="22">
        <v>15100.0</v>
      </c>
    </row>
    <row r="8" ht="15.0" customHeight="1">
      <c r="B8" s="24" t="s">
        <v>67</v>
      </c>
      <c r="C8" s="43"/>
      <c r="D8" s="43"/>
      <c r="E8" s="44">
        <f t="shared" ref="E8:H8" si="1">IFERROR((E7-D7)/D7,"")</f>
        <v>-0.2476898706</v>
      </c>
      <c r="F8" s="44">
        <f t="shared" si="1"/>
        <v>-0.04076738609</v>
      </c>
      <c r="G8" s="44">
        <f t="shared" si="1"/>
        <v>-0.07926829268</v>
      </c>
      <c r="H8" s="45">
        <f t="shared" si="1"/>
        <v>-1</v>
      </c>
    </row>
    <row r="9" ht="15.0" customHeight="1">
      <c r="B9" s="27" t="s">
        <v>68</v>
      </c>
      <c r="C9" s="36">
        <v>2812.0</v>
      </c>
      <c r="D9" s="36">
        <v>5879.0</v>
      </c>
      <c r="E9" s="36">
        <v>5101.0</v>
      </c>
      <c r="F9" s="36">
        <v>4933.0</v>
      </c>
      <c r="G9" s="36">
        <v>4544.0</v>
      </c>
    </row>
    <row r="10" ht="15.0" customHeight="1">
      <c r="B10" s="24" t="s">
        <v>69</v>
      </c>
      <c r="C10" s="44">
        <f t="shared" ref="C10:G10" si="2">IFERROR(C9/C7,"")</f>
        <v>0.2375200608</v>
      </c>
      <c r="D10" s="44">
        <f t="shared" si="2"/>
        <v>0.2586904867</v>
      </c>
      <c r="E10" s="44">
        <f t="shared" si="2"/>
        <v>0.2983564368</v>
      </c>
      <c r="F10" s="44">
        <f t="shared" si="2"/>
        <v>0.3007926829</v>
      </c>
      <c r="G10" s="44">
        <f t="shared" si="2"/>
        <v>0.3009271523</v>
      </c>
    </row>
    <row r="11" ht="15.0" customHeight="1">
      <c r="B11" s="42" t="s">
        <v>70</v>
      </c>
      <c r="C11" s="22">
        <v>2261.0</v>
      </c>
      <c r="D11" s="22">
        <v>4458.0</v>
      </c>
      <c r="E11" s="22">
        <v>2744.0</v>
      </c>
      <c r="F11" s="22">
        <v>2201.0</v>
      </c>
      <c r="G11" s="22">
        <v>1625.0</v>
      </c>
    </row>
    <row r="12" ht="15.0" customHeight="1">
      <c r="B12" s="24" t="s">
        <v>71</v>
      </c>
      <c r="C12" s="35">
        <v>551.0</v>
      </c>
      <c r="D12" s="35">
        <v>529.0</v>
      </c>
      <c r="E12" s="35">
        <v>558.0</v>
      </c>
      <c r="F12" s="35">
        <v>562.0</v>
      </c>
      <c r="G12" s="35">
        <v>440.0</v>
      </c>
    </row>
    <row r="13" ht="15.0" customHeight="1">
      <c r="B13" s="42" t="s">
        <v>72</v>
      </c>
      <c r="C13" s="22">
        <v>1710.0</v>
      </c>
      <c r="D13" s="22">
        <v>3929.0</v>
      </c>
      <c r="E13" s="22">
        <v>2176.0</v>
      </c>
      <c r="F13" s="22">
        <v>1595.0</v>
      </c>
      <c r="G13" s="22">
        <v>724.0</v>
      </c>
    </row>
    <row r="14" ht="15.0" customHeight="1">
      <c r="B14" s="24" t="s">
        <v>73</v>
      </c>
      <c r="C14" s="44">
        <f t="shared" ref="C14:G14" si="3">IFERROR(C13/C7,"")</f>
        <v>0.1444378748</v>
      </c>
      <c r="D14" s="44">
        <f t="shared" si="3"/>
        <v>0.1728856816</v>
      </c>
      <c r="E14" s="44">
        <f t="shared" si="3"/>
        <v>0.1272737907</v>
      </c>
      <c r="F14" s="44">
        <f t="shared" si="3"/>
        <v>0.09725609756</v>
      </c>
      <c r="G14" s="44">
        <f t="shared" si="3"/>
        <v>0.04794701987</v>
      </c>
    </row>
    <row r="15" ht="15.0" customHeight="1">
      <c r="B15" s="27" t="s">
        <v>74</v>
      </c>
      <c r="C15" s="36">
        <v>769.0</v>
      </c>
      <c r="D15" s="36">
        <v>2738.0</v>
      </c>
      <c r="E15" s="36">
        <v>1689.0</v>
      </c>
      <c r="F15" s="36">
        <v>1239.0</v>
      </c>
      <c r="G15" s="36">
        <v>555.0</v>
      </c>
    </row>
    <row r="16" ht="15.0" customHeight="1">
      <c r="B16" s="41" t="s">
        <v>75</v>
      </c>
      <c r="C16" s="4"/>
      <c r="D16" s="4"/>
      <c r="E16" s="4"/>
      <c r="F16" s="4"/>
      <c r="G16" s="5"/>
    </row>
    <row r="17" ht="15.0" customHeight="1">
      <c r="B17" s="27" t="s">
        <v>76</v>
      </c>
      <c r="C17" s="36">
        <v>1040.0</v>
      </c>
      <c r="D17" s="36">
        <v>617.0</v>
      </c>
      <c r="E17" s="36">
        <v>439.0</v>
      </c>
      <c r="F17" s="36">
        <v>296.0</v>
      </c>
      <c r="G17" s="46"/>
    </row>
    <row r="18" ht="15.0" customHeight="1">
      <c r="B18" s="24" t="s">
        <v>77</v>
      </c>
      <c r="C18" s="35">
        <v>2783.0</v>
      </c>
      <c r="D18" s="35">
        <v>2986.0</v>
      </c>
      <c r="E18" s="35">
        <v>2986.0</v>
      </c>
      <c r="F18" s="35">
        <v>3513.0</v>
      </c>
      <c r="G18" s="35">
        <v>4255.0</v>
      </c>
    </row>
    <row r="19" ht="15.0" customHeight="1">
      <c r="B19" s="41" t="s">
        <v>78</v>
      </c>
      <c r="C19" s="4"/>
      <c r="D19" s="4"/>
      <c r="E19" s="4"/>
      <c r="F19" s="4"/>
      <c r="G19" s="5"/>
    </row>
    <row r="20" ht="15.0" customHeight="1">
      <c r="B20" s="24" t="s">
        <v>79</v>
      </c>
      <c r="C20" s="35">
        <v>289.0</v>
      </c>
      <c r="D20" s="35">
        <v>366.0</v>
      </c>
      <c r="E20" s="35">
        <v>430.0</v>
      </c>
      <c r="F20" s="35">
        <v>367.0</v>
      </c>
      <c r="G20" s="35">
        <v>259.0</v>
      </c>
    </row>
    <row r="21" ht="15.0" customHeight="1">
      <c r="B21" s="27" t="s">
        <v>80</v>
      </c>
      <c r="C21" s="46"/>
      <c r="D21" s="46"/>
      <c r="E21" s="47">
        <v>0.072</v>
      </c>
      <c r="F21" s="47">
        <v>0.062</v>
      </c>
      <c r="G21" s="47">
        <v>0.036</v>
      </c>
    </row>
    <row r="22" ht="15.0" customHeight="1">
      <c r="B22" s="24" t="s">
        <v>81</v>
      </c>
      <c r="C22" s="35">
        <f t="shared" ref="C22:G22" si="4">IFERROR(C20-C19,"")</f>
        <v>289</v>
      </c>
      <c r="D22" s="35">
        <f t="shared" si="4"/>
        <v>366</v>
      </c>
      <c r="E22" s="35">
        <f t="shared" si="4"/>
        <v>430</v>
      </c>
      <c r="F22" s="35">
        <f t="shared" si="4"/>
        <v>367</v>
      </c>
      <c r="G22" s="35">
        <f t="shared" si="4"/>
        <v>259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G2"/>
    <mergeCell ref="B3:G3"/>
    <mergeCell ref="B6:G6"/>
    <mergeCell ref="B16:G16"/>
    <mergeCell ref="B19:G1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10" width="14.0"/>
    <col customWidth="1" min="11" max="26" width="8.71"/>
  </cols>
  <sheetData>
    <row r="2" ht="27.75" customHeight="1">
      <c r="B2" s="39" t="s">
        <v>82</v>
      </c>
    </row>
    <row r="3" ht="12.75" customHeight="1">
      <c r="B3" s="40" t="s">
        <v>83</v>
      </c>
    </row>
    <row r="5" ht="13.5" customHeight="1">
      <c r="C5" s="48" t="s">
        <v>84</v>
      </c>
      <c r="D5" s="4"/>
      <c r="E5" s="5"/>
      <c r="F5" s="49" t="s">
        <v>85</v>
      </c>
      <c r="G5" s="4"/>
      <c r="H5" s="4"/>
      <c r="I5" s="4"/>
      <c r="J5" s="5"/>
    </row>
    <row r="6" ht="19.5" customHeight="1">
      <c r="B6" s="33" t="s">
        <v>86</v>
      </c>
      <c r="C6" s="33" t="s">
        <v>62</v>
      </c>
      <c r="D6" s="33" t="s">
        <v>63</v>
      </c>
      <c r="E6" s="33" t="s">
        <v>64</v>
      </c>
      <c r="F6" s="33" t="s">
        <v>87</v>
      </c>
      <c r="G6" s="33" t="s">
        <v>88</v>
      </c>
      <c r="H6" s="33" t="s">
        <v>89</v>
      </c>
      <c r="I6" s="33" t="s">
        <v>90</v>
      </c>
      <c r="J6" s="33" t="s">
        <v>91</v>
      </c>
    </row>
    <row r="7" ht="15.75" customHeight="1">
      <c r="B7" s="50" t="s">
        <v>92</v>
      </c>
      <c r="C7" s="51">
        <f>Financials!E7</f>
        <v>17097</v>
      </c>
      <c r="D7" s="51">
        <f>Financials!F7</f>
        <v>16400</v>
      </c>
      <c r="E7" s="51">
        <f>Financials!G7</f>
        <v>15100</v>
      </c>
      <c r="F7" s="51">
        <f>E7*(1+Assumptions!C23)</f>
        <v>14692.3</v>
      </c>
      <c r="G7" s="51">
        <f>F7*(1+Assumptions!D23)</f>
        <v>15559.1457</v>
      </c>
      <c r="H7" s="51">
        <f>G7*(1+Assumptions!E23)</f>
        <v>15310.19937</v>
      </c>
      <c r="I7" s="51">
        <f>H7*(1+Assumptions!F23)</f>
        <v>15386.75037</v>
      </c>
      <c r="J7" s="51">
        <f>I7*(1+Assumptions!G23)</f>
        <v>15632.93837</v>
      </c>
    </row>
    <row r="8" ht="13.5" customHeight="1">
      <c r="B8" s="18" t="s">
        <v>93</v>
      </c>
      <c r="C8" s="46"/>
      <c r="D8" s="47">
        <f t="shared" ref="D8:J8" si="1">IFERROR((D7-C7)/C7,"")</f>
        <v>-0.04076738609</v>
      </c>
      <c r="E8" s="47">
        <f t="shared" si="1"/>
        <v>-0.07926829268</v>
      </c>
      <c r="F8" s="47">
        <f t="shared" si="1"/>
        <v>-0.027</v>
      </c>
      <c r="G8" s="47">
        <f t="shared" si="1"/>
        <v>0.059</v>
      </c>
      <c r="H8" s="47">
        <f t="shared" si="1"/>
        <v>-0.016</v>
      </c>
      <c r="I8" s="47">
        <f t="shared" si="1"/>
        <v>0.005</v>
      </c>
      <c r="J8" s="47">
        <f t="shared" si="1"/>
        <v>0.016</v>
      </c>
    </row>
    <row r="9" ht="15.75" customHeight="1">
      <c r="B9" s="24" t="s">
        <v>94</v>
      </c>
      <c r="C9" s="35">
        <f>Financials!E13</f>
        <v>2176</v>
      </c>
      <c r="D9" s="35">
        <f>Financials!F13</f>
        <v>1595</v>
      </c>
      <c r="E9" s="35">
        <f>Financials!G13</f>
        <v>724</v>
      </c>
      <c r="F9" s="35">
        <f>F7*Assumptions!C24</f>
        <v>617.0766</v>
      </c>
      <c r="G9" s="35">
        <f>G7*Assumptions!D24</f>
        <v>995.7853248</v>
      </c>
      <c r="H9" s="35">
        <f>H7*Assumptions!E24</f>
        <v>811.4405665</v>
      </c>
      <c r="I9" s="35">
        <f>I7*Assumptions!F24</f>
        <v>815.4977694</v>
      </c>
      <c r="J9" s="35">
        <f>J7*Assumptions!G24</f>
        <v>891.0774872</v>
      </c>
    </row>
    <row r="10" ht="13.5" customHeight="1">
      <c r="B10" s="18" t="s">
        <v>73</v>
      </c>
      <c r="C10" s="47">
        <f t="shared" ref="C10:J10" si="2">IFERROR(C9/C7,"")</f>
        <v>0.1272737907</v>
      </c>
      <c r="D10" s="47">
        <f t="shared" si="2"/>
        <v>0.09725609756</v>
      </c>
      <c r="E10" s="47">
        <f t="shared" si="2"/>
        <v>0.04794701987</v>
      </c>
      <c r="F10" s="47">
        <f t="shared" si="2"/>
        <v>0.042</v>
      </c>
      <c r="G10" s="47">
        <f t="shared" si="2"/>
        <v>0.064</v>
      </c>
      <c r="H10" s="47">
        <f t="shared" si="2"/>
        <v>0.053</v>
      </c>
      <c r="I10" s="47">
        <f t="shared" si="2"/>
        <v>0.053</v>
      </c>
      <c r="J10" s="47">
        <f t="shared" si="2"/>
        <v>0.057</v>
      </c>
    </row>
    <row r="11" ht="15.75" customHeight="1">
      <c r="B11" s="52" t="s">
        <v>95</v>
      </c>
      <c r="C11" s="35">
        <f>C9*(1-0.233)</f>
        <v>1668.992</v>
      </c>
      <c r="D11" s="35">
        <f>D9*(1-0.223)</f>
        <v>1239.315</v>
      </c>
      <c r="E11" s="35">
        <f>E9*(1-0.233)</f>
        <v>555.308</v>
      </c>
      <c r="F11" s="35">
        <f>F9*(1-Assumptions!C25)</f>
        <v>481.319748</v>
      </c>
      <c r="G11" s="35">
        <f>G9*(1-Assumptions!D25)</f>
        <v>776.7125533</v>
      </c>
      <c r="H11" s="35">
        <f>H9*(1-Assumptions!E25)</f>
        <v>632.9236419</v>
      </c>
      <c r="I11" s="35">
        <f>I9*(1-Assumptions!F25)</f>
        <v>636.0882601</v>
      </c>
      <c r="J11" s="35">
        <f>J9*(1-Assumptions!G25)</f>
        <v>695.04044</v>
      </c>
    </row>
    <row r="12" ht="15.75" customHeight="1">
      <c r="B12" s="27" t="s">
        <v>96</v>
      </c>
      <c r="C12" s="36">
        <f>Financials!E12</f>
        <v>558</v>
      </c>
      <c r="D12" s="36">
        <f>Financials!F12</f>
        <v>562</v>
      </c>
      <c r="E12" s="36">
        <f>Financials!G12</f>
        <v>440</v>
      </c>
      <c r="F12" s="36">
        <f>F7*Assumptions!C26</f>
        <v>572.9997</v>
      </c>
      <c r="G12" s="36">
        <f>G7*Assumptions!D26</f>
        <v>560.1292452</v>
      </c>
      <c r="H12" s="36">
        <f>H7*Assumptions!E26</f>
        <v>551.1671773</v>
      </c>
      <c r="I12" s="36">
        <f>I7*Assumptions!F26</f>
        <v>553.9230132</v>
      </c>
      <c r="J12" s="36">
        <f>J7*Assumptions!G26</f>
        <v>562.7857814</v>
      </c>
    </row>
    <row r="13" ht="15.75" customHeight="1">
      <c r="B13" s="24" t="s">
        <v>97</v>
      </c>
      <c r="C13" s="43"/>
      <c r="D13" s="43"/>
      <c r="E13" s="43"/>
      <c r="F13" s="35">
        <f>Assumptions!C28</f>
        <v>35</v>
      </c>
      <c r="G13" s="35">
        <f>Assumptions!D28</f>
        <v>-73</v>
      </c>
      <c r="H13" s="35">
        <f>Assumptions!E28</f>
        <v>21</v>
      </c>
      <c r="I13" s="35">
        <f>Assumptions!F28</f>
        <v>-7</v>
      </c>
      <c r="J13" s="35">
        <f>Assumptions!G28</f>
        <v>-21</v>
      </c>
    </row>
    <row r="14" ht="15.75" customHeight="1">
      <c r="B14" s="27" t="s">
        <v>98</v>
      </c>
      <c r="C14" s="46"/>
      <c r="D14" s="46"/>
      <c r="E14" s="46"/>
      <c r="F14" s="36">
        <f>Assumptions!C27</f>
        <v>-360</v>
      </c>
      <c r="G14" s="36">
        <f>Assumptions!D27</f>
        <v>-382</v>
      </c>
      <c r="H14" s="36">
        <f>Assumptions!E27</f>
        <v>-382</v>
      </c>
      <c r="I14" s="36">
        <f>Assumptions!F27</f>
        <v>-382</v>
      </c>
      <c r="J14" s="36">
        <f>Assumptions!G27</f>
        <v>-382</v>
      </c>
    </row>
    <row r="16" ht="15.0" customHeight="1">
      <c r="B16" s="13" t="s">
        <v>99</v>
      </c>
      <c r="C16" s="4"/>
      <c r="D16" s="4"/>
      <c r="E16" s="4"/>
      <c r="F16" s="4"/>
      <c r="G16" s="4"/>
      <c r="H16" s="4"/>
      <c r="I16" s="4"/>
      <c r="J16" s="5"/>
    </row>
    <row r="17" ht="18.0" customHeight="1">
      <c r="B17" s="50" t="s">
        <v>100</v>
      </c>
      <c r="C17" s="53"/>
      <c r="D17" s="53"/>
      <c r="E17" s="53"/>
      <c r="F17" s="51">
        <f t="shared" ref="F17:J17" si="3">F11+F12+F13+F14</f>
        <v>729.319448</v>
      </c>
      <c r="G17" s="51">
        <f t="shared" si="3"/>
        <v>881.8417985</v>
      </c>
      <c r="H17" s="51">
        <f t="shared" si="3"/>
        <v>823.0908192</v>
      </c>
      <c r="I17" s="51">
        <f t="shared" si="3"/>
        <v>801.0112733</v>
      </c>
      <c r="J17" s="51">
        <f t="shared" si="3"/>
        <v>854.8262214</v>
      </c>
    </row>
    <row r="19" ht="15.0" customHeight="1">
      <c r="B19" s="13" t="s">
        <v>101</v>
      </c>
      <c r="C19" s="4"/>
      <c r="D19" s="4"/>
      <c r="E19" s="4"/>
      <c r="F19" s="4"/>
      <c r="G19" s="4"/>
      <c r="H19" s="4"/>
      <c r="I19" s="4"/>
      <c r="J19" s="5"/>
    </row>
    <row r="20" ht="15.75" customHeight="1">
      <c r="B20" s="54" t="s">
        <v>16</v>
      </c>
      <c r="F20" s="45">
        <f>Assumptions!C14</f>
        <v>0.08511379</v>
      </c>
      <c r="G20" s="45">
        <f>Assumptions!C14</f>
        <v>0.08511379</v>
      </c>
      <c r="H20" s="45">
        <f>Assumptions!C14</f>
        <v>0.08511379</v>
      </c>
      <c r="I20" s="45">
        <f>Assumptions!C14</f>
        <v>0.08511379</v>
      </c>
      <c r="J20" s="45">
        <f>Assumptions!C14</f>
        <v>0.08511379</v>
      </c>
    </row>
    <row r="21" ht="15.75" customHeight="1">
      <c r="B21" s="55" t="s">
        <v>102</v>
      </c>
      <c r="F21" s="56">
        <v>1.0</v>
      </c>
      <c r="G21" s="56">
        <v>2.0</v>
      </c>
      <c r="H21" s="56">
        <v>3.0</v>
      </c>
      <c r="I21" s="56">
        <v>4.0</v>
      </c>
      <c r="J21" s="56">
        <v>5.0</v>
      </c>
    </row>
    <row r="22" ht="15.75" customHeight="1">
      <c r="B22" s="24" t="s">
        <v>103</v>
      </c>
      <c r="C22" s="53"/>
      <c r="D22" s="53"/>
      <c r="E22" s="53"/>
      <c r="F22" s="57">
        <f t="shared" ref="F22:J22" si="4">1/(1+$F$20)^F21</f>
        <v>0.9215623368</v>
      </c>
      <c r="G22" s="57">
        <f t="shared" si="4"/>
        <v>0.8492771406</v>
      </c>
      <c r="H22" s="57">
        <f t="shared" si="4"/>
        <v>0.7826618263</v>
      </c>
      <c r="I22" s="57">
        <f t="shared" si="4"/>
        <v>0.7212716615</v>
      </c>
      <c r="J22" s="57">
        <f t="shared" si="4"/>
        <v>0.6646967979</v>
      </c>
    </row>
    <row r="23" ht="18.0" customHeight="1">
      <c r="B23" s="54" t="s">
        <v>104</v>
      </c>
      <c r="F23" s="51">
        <f t="shared" ref="F23:J23" si="5">F17*F22</f>
        <v>672.1133348</v>
      </c>
      <c r="G23" s="51">
        <f t="shared" si="5"/>
        <v>748.9280811</v>
      </c>
      <c r="H23" s="51">
        <f t="shared" si="5"/>
        <v>644.2017637</v>
      </c>
      <c r="I23" s="51">
        <f t="shared" si="5"/>
        <v>577.746732</v>
      </c>
      <c r="J23" s="51">
        <f t="shared" si="5"/>
        <v>568.2002521</v>
      </c>
    </row>
    <row r="24" ht="15.75" customHeight="1">
      <c r="B24" s="54" t="s">
        <v>105</v>
      </c>
      <c r="F24" s="58">
        <f>SUM(F23:J23)</f>
        <v>3211.190164</v>
      </c>
    </row>
    <row r="25" ht="15.75" customHeight="1"/>
    <row r="26" ht="15.0" customHeight="1">
      <c r="B26" s="13" t="s">
        <v>106</v>
      </c>
      <c r="C26" s="4"/>
      <c r="D26" s="4"/>
      <c r="E26" s="4"/>
      <c r="F26" s="4"/>
      <c r="G26" s="4"/>
      <c r="H26" s="4"/>
      <c r="I26" s="4"/>
      <c r="J26" s="5"/>
    </row>
    <row r="27" ht="15.75" customHeight="1">
      <c r="B27" s="54" t="s">
        <v>107</v>
      </c>
    </row>
    <row r="28" ht="15.75" customHeight="1">
      <c r="B28" s="16" t="s">
        <v>108</v>
      </c>
      <c r="C28" s="44">
        <f>Assumptions!C17</f>
        <v>0.02</v>
      </c>
      <c r="D28" s="53"/>
      <c r="E28" s="53"/>
      <c r="F28" s="53"/>
      <c r="G28" s="53"/>
      <c r="H28" s="53"/>
      <c r="I28" s="53"/>
      <c r="J28" s="53"/>
    </row>
    <row r="29" ht="15.75" customHeight="1">
      <c r="B29" s="18" t="s">
        <v>109</v>
      </c>
      <c r="C29" s="36">
        <f>J17</f>
        <v>854.8262214</v>
      </c>
      <c r="D29" s="59"/>
      <c r="E29" s="59"/>
      <c r="F29" s="59"/>
      <c r="G29" s="59"/>
      <c r="H29" s="59"/>
      <c r="I29" s="59"/>
      <c r="J29" s="59"/>
    </row>
    <row r="30" ht="15.75" customHeight="1">
      <c r="B30" s="16" t="s">
        <v>110</v>
      </c>
      <c r="C30" s="35">
        <f>C29*(1+C28)/($F$20-C28)</f>
        <v>13390.75403</v>
      </c>
      <c r="D30" s="53"/>
      <c r="E30" s="53"/>
      <c r="F30" s="53"/>
      <c r="G30" s="53"/>
      <c r="H30" s="53"/>
      <c r="I30" s="53"/>
      <c r="J30" s="53"/>
    </row>
    <row r="31" ht="15.75" customHeight="1">
      <c r="B31" s="18" t="s">
        <v>111</v>
      </c>
      <c r="C31" s="36">
        <f>C30/(1+$F$20)^5</f>
        <v>8900.791324</v>
      </c>
      <c r="D31" s="59"/>
      <c r="E31" s="59"/>
      <c r="F31" s="59"/>
      <c r="G31" s="59"/>
      <c r="H31" s="59"/>
      <c r="I31" s="59"/>
      <c r="J31" s="59"/>
    </row>
    <row r="32" ht="15.75" customHeight="1">
      <c r="B32" s="24" t="s">
        <v>112</v>
      </c>
      <c r="C32" s="51">
        <f>F24+C31</f>
        <v>12111.98149</v>
      </c>
      <c r="D32" s="53"/>
      <c r="E32" s="53"/>
      <c r="F32" s="53"/>
      <c r="G32" s="53"/>
      <c r="H32" s="53"/>
      <c r="I32" s="53"/>
      <c r="J32" s="53"/>
    </row>
    <row r="33" ht="18.0" customHeight="1">
      <c r="B33" s="60" t="s">
        <v>113</v>
      </c>
      <c r="C33" s="61">
        <f>(C32-Assumptions!C32+Assumptions!C31)/Assumptions!C33</f>
        <v>73.71592665</v>
      </c>
    </row>
    <row r="34" ht="15.75" customHeight="1"/>
    <row r="35" ht="15.75" customHeight="1">
      <c r="B35" s="54" t="s">
        <v>114</v>
      </c>
    </row>
    <row r="36" ht="15.75" customHeight="1">
      <c r="B36" s="16" t="s">
        <v>115</v>
      </c>
      <c r="C36" s="35">
        <f>J17+J12</f>
        <v>1417.612003</v>
      </c>
      <c r="D36" s="53"/>
      <c r="E36" s="53"/>
      <c r="F36" s="53"/>
      <c r="G36" s="53"/>
      <c r="H36" s="53"/>
      <c r="I36" s="53"/>
      <c r="J36" s="53"/>
    </row>
    <row r="37" ht="15.75" customHeight="1">
      <c r="B37" s="18" t="s">
        <v>116</v>
      </c>
      <c r="C37" s="31">
        <f>Assumptions!C18</f>
        <v>11.5</v>
      </c>
      <c r="D37" s="59"/>
      <c r="E37" s="59"/>
      <c r="F37" s="59"/>
      <c r="G37" s="59"/>
      <c r="H37" s="59"/>
      <c r="I37" s="59"/>
      <c r="J37" s="59"/>
    </row>
    <row r="38" ht="15.75" customHeight="1">
      <c r="B38" s="16" t="s">
        <v>117</v>
      </c>
      <c r="C38" s="35">
        <f>C36*C37</f>
        <v>16302.53803</v>
      </c>
      <c r="D38" s="53"/>
      <c r="E38" s="53"/>
      <c r="F38" s="53"/>
      <c r="G38" s="53"/>
      <c r="H38" s="53"/>
      <c r="I38" s="53"/>
      <c r="J38" s="53"/>
    </row>
    <row r="39" ht="15.75" customHeight="1">
      <c r="B39" s="18" t="s">
        <v>118</v>
      </c>
      <c r="C39" s="36">
        <f>C38/(1+$F$20)^5</f>
        <v>10836.24483</v>
      </c>
      <c r="D39" s="59"/>
      <c r="E39" s="59"/>
      <c r="F39" s="59"/>
      <c r="G39" s="59"/>
      <c r="H39" s="59"/>
      <c r="I39" s="59"/>
      <c r="J39" s="59"/>
    </row>
    <row r="40" ht="15.75" customHeight="1">
      <c r="B40" s="24" t="s">
        <v>112</v>
      </c>
      <c r="C40" s="51">
        <f>F24+C39</f>
        <v>14047.43499</v>
      </c>
      <c r="D40" s="53"/>
      <c r="E40" s="53"/>
      <c r="F40" s="53"/>
      <c r="G40" s="53"/>
      <c r="H40" s="53"/>
      <c r="I40" s="53"/>
      <c r="J40" s="53"/>
    </row>
    <row r="41" ht="18.0" customHeight="1">
      <c r="B41" s="60" t="s">
        <v>119</v>
      </c>
      <c r="C41" s="61">
        <f>(C40-Assumptions!C32+Assumptions!C31)/Assumptions!C33</f>
        <v>91.21550624</v>
      </c>
    </row>
    <row r="42" ht="15.75" customHeight="1"/>
    <row r="43" ht="15.0" customHeight="1">
      <c r="B43" s="13" t="s">
        <v>120</v>
      </c>
      <c r="C43" s="4"/>
      <c r="D43" s="4"/>
      <c r="E43" s="5"/>
    </row>
    <row r="44" ht="15.75" customHeight="1">
      <c r="B44" s="55" t="s">
        <v>121</v>
      </c>
      <c r="C44" s="62">
        <v>0.5</v>
      </c>
    </row>
    <row r="45" ht="15.75" customHeight="1">
      <c r="B45" s="55" t="s">
        <v>122</v>
      </c>
      <c r="C45" s="62">
        <v>0.5</v>
      </c>
    </row>
    <row r="46" ht="19.5" customHeight="1">
      <c r="B46" s="60" t="s">
        <v>120</v>
      </c>
      <c r="C46" s="61">
        <f>C33*C44+C41*C45</f>
        <v>82.46571645</v>
      </c>
    </row>
    <row r="47" ht="15.75" customHeight="1">
      <c r="B47" s="54" t="s">
        <v>123</v>
      </c>
      <c r="C47" s="63">
        <f>Assumptions!C34</f>
        <v>107.28</v>
      </c>
    </row>
    <row r="48" ht="18.0" customHeight="1">
      <c r="B48" s="54" t="s">
        <v>124</v>
      </c>
      <c r="C48" s="64">
        <f>(C46-C47)/C47</f>
        <v>-0.2313039108</v>
      </c>
    </row>
    <row r="49" ht="15.75" customHeight="1"/>
    <row r="50" ht="15.0" customHeight="1">
      <c r="B50" s="13" t="s">
        <v>125</v>
      </c>
      <c r="C50" s="4"/>
      <c r="D50" s="4"/>
      <c r="E50" s="4"/>
      <c r="F50" s="4"/>
      <c r="G50" s="4"/>
      <c r="H50" s="4"/>
      <c r="I50" s="4"/>
      <c r="J50" s="5"/>
    </row>
    <row r="51" ht="18.0" customHeight="1">
      <c r="B51" s="65" t="s">
        <v>126</v>
      </c>
      <c r="C51" s="66">
        <v>0.065</v>
      </c>
      <c r="D51" s="66">
        <v>0.07</v>
      </c>
      <c r="E51" s="66">
        <v>0.075</v>
      </c>
      <c r="F51" s="66">
        <v>0.0825</v>
      </c>
      <c r="G51" s="66">
        <v>0.09</v>
      </c>
      <c r="H51" s="66">
        <v>0.095</v>
      </c>
      <c r="I51" s="66">
        <v>0.1</v>
      </c>
    </row>
    <row r="52" ht="15.75" customHeight="1">
      <c r="B52" s="67">
        <v>-0.02</v>
      </c>
      <c r="C52" s="68">
        <f>IFERROR((J17*(1+B52)/(C51-B52))/(1+C51)^5+F17/(1+C51)^1+G17/(1+C51)^2+H17/(1+C51)^3+I17/(1+C51)^4+J17/(1+C51)^5+Assumptions!C31-Assumptions!C32,0)/Assumptions!C33</f>
        <v>59.89780418</v>
      </c>
      <c r="D52" s="68">
        <f>IFERROR((J17*(1+B52)/(D51-B52))/(1+D51)^5+F17/(1+D51)^1+G17/(1+D51)^2+H17/(1+D51)^3+I17/(1+D51)^4+J17/(1+D51)^5+Assumptions!C31-Assumptions!C32,0)/Assumptions!C33</f>
        <v>54.44708999</v>
      </c>
      <c r="E52" s="68">
        <f>IFERROR((J17*(1+B52)/(E51-B52))/(1+E51)^5+F17/(1+E51)^1+G17/(1+E51)^2+H17/(1+E51)^3+I17/(1+E51)^4+J17/(1+E51)^5+Assumptions!C31-Assumptions!C32,0)/Assumptions!C33</f>
        <v>49.57243679</v>
      </c>
      <c r="F52" s="68">
        <f>IFERROR((J17*(1+B52)/(F51-B52))/(1+F51)^5+F17/(1+F51)^1+G17/(1+F51)^2+H17/(1+F51)^3+I17/(1+F51)^4+J17/(1+F51)^5+Assumptions!C31-Assumptions!C32,0)/Assumptions!C33</f>
        <v>43.156042</v>
      </c>
      <c r="G52" s="68">
        <f>IFERROR((J17*(1+B52)/(G51-B52))/(1+G51)^5+F17/(1+G51)^1+G17/(1+G51)^2+H17/(1+G51)^3+I17/(1+G51)^4+J17/(1+G51)^5+Assumptions!C31-Assumptions!C32,0)/Assumptions!C33</f>
        <v>37.61880206</v>
      </c>
      <c r="H52" s="68">
        <f>IFERROR((J17*(1+B52)/(H51-B52))/(1+H51)^5+F17/(1+H51)^1+G17/(1+H51)^2+H17/(1+H51)^3+I17/(1+H51)^4+J17/(1+H51)^5+Assumptions!C31-Assumptions!C32,0)/Assumptions!C33</f>
        <v>34.33071065</v>
      </c>
      <c r="I52" s="68">
        <f>IFERROR((J17*(1+B52)/(I51-B52))/(1+I51)^5+F17/(1+I51)^1+G17/(1+I51)^2+H17/(1+I51)^3+I17/(1+I51)^4+J17/(1+I51)^5+Assumptions!C31-Assumptions!C32,0)/Assumptions!C33</f>
        <v>31.31822882</v>
      </c>
    </row>
    <row r="53" ht="15.75" customHeight="1">
      <c r="B53" s="67">
        <v>-0.01</v>
      </c>
      <c r="C53" s="38">
        <f>IFERROR((J17*(1+B53)/(C51-B53))/(1+C51)^5+F17/(1+C51)^1+G17/(1+C51)^2+H17/(1+C51)^3+I17/(1+C51)^4+J17/(1+C51)^5+Assumptions!C31-Assumptions!C32,0)/Assumptions!C33</f>
        <v>69.32199537</v>
      </c>
      <c r="D53" s="38">
        <f>IFERROR((J17*(1+B53)/(D51-B53))/(1+D51)^5+F17/(1+D51)^1+G17/(1+D51)^2+H17/(1+D51)^3+I17/(1+D51)^4+J17/(1+D51)^5+Assumptions!C31-Assumptions!C32,0)/Assumptions!C33</f>
        <v>62.63654689</v>
      </c>
      <c r="E53" s="38">
        <f>IFERROR((J17*(1+B53)/(E51-B53))/(1+E51)^5+F17/(1+E51)^1+G17/(1+E51)^2+H17/(1+E51)^3+I17/(1+E51)^4+J17/(1+E51)^5+Assumptions!C31-Assumptions!C32,0)/Assumptions!C33</f>
        <v>56.73958393</v>
      </c>
      <c r="F53" s="38">
        <f>IFERROR((J17*(1+B53)/(F51-B53))/(1+F51)^5+F17/(1+F51)^1+G17/(1+F51)^2+H17/(1+F51)^3+I17/(1+F51)^4+J17/(1+F51)^5+Assumptions!C31-Assumptions!C32,0)/Assumptions!C33</f>
        <v>49.09274729</v>
      </c>
      <c r="G53" s="38">
        <f>IFERROR((J17*(1+B53)/(G51-B53))/(1+G51)^5+F17/(1+G51)^1+G17/(1+G51)^2+H17/(1+G51)^3+I17/(1+G51)^4+J17/(1+G51)^5+Assumptions!C31-Assumptions!C32,0)/Assumptions!C33</f>
        <v>42.59644834</v>
      </c>
      <c r="H53" s="38">
        <f>IFERROR((J17*(1+B53)/(H51-B53))/(1+H51)^5+F17/(1+H51)^1+G17/(1+H51)^2+H17/(1+H51)^3+I17/(1+H51)^4+J17/(1+H51)^5+Assumptions!C31-Assumptions!C32,0)/Assumptions!C33</f>
        <v>38.78295603</v>
      </c>
      <c r="I53" s="38">
        <f>IFERROR((J17*(1+B53)/(I51-B53))/(1+I51)^5+F17/(1+I51)^1+G17/(1+I51)^2+H17/(1+I51)^3+I17/(1+I51)^4+J17/(1+I51)^5+Assumptions!C31-Assumptions!C32,0)/Assumptions!C33</f>
        <v>35.31747406</v>
      </c>
    </row>
    <row r="54" ht="15.75" customHeight="1">
      <c r="B54" s="67">
        <v>0.0</v>
      </c>
      <c r="C54" s="68">
        <f>IFERROR((J17*(1+B54)/(C51-B54))/(1+C51)^5+F17/(1+C51)^1+G17/(1+C51)^2+H17/(1+C51)^3+I17/(1+C51)^4+J17/(1+C51)^5+Assumptions!C31-Assumptions!C32,0)/Assumptions!C33</f>
        <v>81.6459377</v>
      </c>
      <c r="D54" s="68">
        <f>IFERROR((J17*(1+B54)/(D51-B54))/(1+D51)^5+F17/(1+D51)^1+G17/(1+D51)^2+H17/(1+D51)^3+I17/(1+D51)^4+J17/(1+D51)^5+Assumptions!C31-Assumptions!C32,0)/Assumptions!C33</f>
        <v>73.16584861</v>
      </c>
      <c r="E54" s="68">
        <f>IFERROR((J17*(1+B54)/(E51-B54))/(1+E51)^5+F17/(1+E51)^1+G17/(1+E51)^2+H17/(1+E51)^3+I17/(1+E51)^4+J17/(1+E51)^5+Assumptions!C31-Assumptions!C32,0)/Assumptions!C33</f>
        <v>65.8179703</v>
      </c>
      <c r="F54" s="68">
        <f>IFERROR((J17*(1+B54)/(F51-B54))/(1+F51)^5+F17/(1+F51)^1+G17/(1+F51)^2+H17/(1+F51)^3+I17/(1+F51)^4+J17/(1+F51)^5+Assumptions!C31-Assumptions!C32,0)/Assumptions!C33</f>
        <v>56.46865387</v>
      </c>
      <c r="G54" s="68">
        <f>IFERROR((J17*(1+B54)/(G51-B54))/(1+G51)^5+F17/(1+G51)^1+G17/(1+G51)^2+H17/(1+G51)^3+I17/(1+G51)^4+J17/(1+G51)^5+Assumptions!C31-Assumptions!C32,0)/Assumptions!C33</f>
        <v>48.68023824</v>
      </c>
      <c r="H54" s="68">
        <f>IFERROR((J17*(1+B54)/(H51-B54))/(1+H51)^5+F17/(1+H51)^1+G17/(1+H51)^2+H17/(1+H51)^3+I17/(1+H51)^4+J17/(1+H51)^5+Assumptions!C31-Assumptions!C32,0)/Assumptions!C33</f>
        <v>44.17251623</v>
      </c>
      <c r="I54" s="68">
        <f>IFERROR((J17*(1+B54)/(I51-B54))/(1+I51)^5+F17/(1+I51)^1+G17/(1+I51)^2+H17/(1+I51)^3+I17/(1+I51)^4+J17/(1+I51)^5+Assumptions!C31-Assumptions!C32,0)/Assumptions!C33</f>
        <v>40.11656835</v>
      </c>
    </row>
    <row r="55" ht="15.75" customHeight="1">
      <c r="B55" s="67">
        <v>0.01</v>
      </c>
      <c r="C55" s="38">
        <f>IFERROR((J17*(1+B55)/(C51-B55))/(1+C51)^5+F17/(1+C51)^1+G17/(1+C51)^2+H17/(1+C51)^3+I17/(1+C51)^4+J17/(1+C51)^5+Assumptions!C31-Assumptions!C32,0)/Assumptions!C33</f>
        <v>98.4513136</v>
      </c>
      <c r="D55" s="38">
        <f>IFERROR((J17*(1+B55)/(D51-B55))/(1+D51)^5+F17/(1+D51)^1+G17/(1+D51)^2+H17/(1+D51)^3+I17/(1+D51)^4+J17/(1+D51)^5+Assumptions!C31-Assumptions!C32,0)/Assumptions!C33</f>
        <v>87.20491757</v>
      </c>
      <c r="E55" s="38">
        <f>IFERROR((J17*(1+B55)/(E51-B55))/(1+E51)^5+F17/(1+E51)^1+G17/(1+E51)^2+H17/(1+E51)^3+I17/(1+E51)^4+J17/(1+E51)^5+Assumptions!C31-Assumptions!C32,0)/Assumptions!C33</f>
        <v>77.68970633</v>
      </c>
      <c r="F55" s="38">
        <f>IFERROR((J17*(1+B55)/(F51-B55))/(1+F51)^5+F17/(1+F51)^1+G17/(1+F51)^2+H17/(1+F51)^3+I17/(1+F51)^4+J17/(1+F51)^5+Assumptions!C31-Assumptions!C32,0)/Assumptions!C33</f>
        <v>65.87929329</v>
      </c>
      <c r="G55" s="38">
        <f>IFERROR((J17*(1+B55)/(G51-B55))/(1+G51)^5+F17/(1+G51)^1+G17/(1+G51)^2+H17/(1+G51)^3+I17/(1+G51)^4+J17/(1+G51)^5+Assumptions!C31-Assumptions!C32,0)/Assumptions!C33</f>
        <v>56.28497561</v>
      </c>
      <c r="H55" s="38">
        <f>IFERROR((J17*(1+B55)/(H51-B55))/(1+H51)^5+F17/(1+H51)^1+G17/(1+H51)^2+H17/(1+H51)^3+I17/(1+H51)^4+J17/(1+H51)^5+Assumptions!C31-Assumptions!C32,0)/Assumptions!C33</f>
        <v>50.83020825</v>
      </c>
      <c r="I55" s="38">
        <f>IFERROR((J17*(1+B55)/(I51-B55))/(1+I51)^5+F17/(1+I51)^1+G17/(1+I51)^2+H17/(1+I51)^3+I17/(1+I51)^4+J17/(1+I51)^5+Assumptions!C31-Assumptions!C32,0)/Assumptions!C33</f>
        <v>45.98212803</v>
      </c>
    </row>
    <row r="56" ht="15.75" customHeight="1">
      <c r="B56" s="67">
        <v>0.02</v>
      </c>
      <c r="C56" s="68">
        <f>IFERROR((J17*(1+B56)/(C51-B56))/(1+C51)^5+F17/(1+C51)^1+G17/(1+C51)^2+H17/(1+C51)^3+I17/(1+C51)^4+J17/(1+C51)^5+Assumptions!C31-Assumptions!C32,0)/Assumptions!C33</f>
        <v>122.7257455</v>
      </c>
      <c r="D56" s="68">
        <f>IFERROR((J17*(1+B56)/(D51-B56))/(1+D51)^5+F17/(1+D51)^1+G17/(1+D51)^2+H17/(1+D51)^3+I17/(1+D51)^4+J17/(1+D51)^5+Assumptions!C31-Assumptions!C32,0)/Assumptions!C33</f>
        <v>106.8596141</v>
      </c>
      <c r="E56" s="68">
        <f>IFERROR((J17*(1+B56)/(E51-B56))/(1+E51)^5+F17/(1+E51)^1+G17/(1+E51)^2+H17/(1+E51)^3+I17/(1+E51)^4+J17/(1+E51)^5+Assumptions!C31-Assumptions!C32,0)/Assumptions!C33</f>
        <v>93.87843729</v>
      </c>
      <c r="F56" s="69">
        <f>IFERROR((J17*(1+B56)/(F51-B56))/(1+F51)^5+F17/(1+F51)^1+G17/(1+F51)^2+H17/(1+F51)^3+I17/(1+F51)^4+J17/(1+F51)^5+Assumptions!C31-Assumptions!C32,0)/Assumptions!C33</f>
        <v>78.30133732</v>
      </c>
      <c r="G56" s="68">
        <f>IFERROR((J17*(1+B56)/(G51-B56))/(1+G51)^5+F17/(1+G51)^1+G17/(1+G51)^2+H17/(1+G51)^3+I17/(1+G51)^4+J17/(1+G51)^5+Assumptions!C31-Assumptions!C32,0)/Assumptions!C33</f>
        <v>66.06249509</v>
      </c>
      <c r="H56" s="68">
        <f>IFERROR((J17*(1+B56)/(H51-B56))/(1+H51)^5+F17/(1+H51)^1+G17/(1+H51)^2+H17/(1+H51)^3+I17/(1+H51)^4+J17/(1+H51)^5+Assumptions!C31-Assumptions!C32,0)/Assumptions!C33</f>
        <v>59.2632848</v>
      </c>
      <c r="I56" s="68">
        <f>IFERROR((J17*(1+B56)/(I51-B56))/(1+I51)^5+F17/(1+I51)^1+G17/(1+I51)^2+H17/(1+I51)^3+I17/(1+I51)^4+J17/(1+I51)^5+Assumptions!C31-Assumptions!C32,0)/Assumptions!C33</f>
        <v>53.31407764</v>
      </c>
    </row>
    <row r="57" ht="15.75" customHeight="1">
      <c r="B57" s="67">
        <v>0.03</v>
      </c>
      <c r="C57" s="38">
        <f>IFERROR((J17*(1+B57)/(C51-B57))/(1+C51)^5+F17/(1+C51)^1+G17/(1+C51)^2+H17/(1+C51)^3+I17/(1+C51)^4+J17/(1+C51)^5+Assumptions!C31-Assumptions!C32,0)/Assumptions!C33</f>
        <v>160.8712812</v>
      </c>
      <c r="D57" s="38">
        <f>IFERROR((J17*(1+B57)/(D51-B57))/(1+D51)^5+F17/(1+D51)^1+G17/(1+D51)^2+H17/(1+D51)^3+I17/(1+D51)^4+J17/(1+D51)^5+Assumptions!C31-Assumptions!C32,0)/Assumptions!C33</f>
        <v>136.3416589</v>
      </c>
      <c r="E57" s="38">
        <f>IFERROR((J17*(1+B57)/(E51-B57))/(1+E51)^5+F17/(1+E51)^1+G17/(1+E51)^2+H17/(1+E51)^3+I17/(1+E51)^4+J17/(1+E51)^5+Assumptions!C31-Assumptions!C32,0)/Assumptions!C33</f>
        <v>117.2621598</v>
      </c>
      <c r="F57" s="38">
        <f>IFERROR((J17*(1+B57)/(F51-B57))/(1+F51)^5+F17/(1+F51)^1+G17/(1+F51)^2+H17/(1+F51)^3+I17/(1+F51)^4+J17/(1+F51)^5+Assumptions!C31-Assumptions!C32,0)/Assumptions!C33</f>
        <v>95.45558861</v>
      </c>
      <c r="G57" s="38">
        <f>IFERROR((J17*(1+B57)/(G51-B57))/(1+G51)^5+F17/(1+G51)^1+G17/(1+G51)^2+H17/(1+G51)^3+I17/(1+G51)^4+J17/(1+G51)^5+Assumptions!C31-Assumptions!C32,0)/Assumptions!C33</f>
        <v>79.09918772</v>
      </c>
      <c r="H57" s="38">
        <f>IFERROR((J17*(1+B57)/(H51-B57))/(1+H51)^5+F17/(1+H51)^1+G17/(1+H51)^2+H17/(1+H51)^3+I17/(1+H51)^4+J17/(1+H51)^5+Assumptions!C31-Assumptions!C32,0)/Assumptions!C33</f>
        <v>70.29115414</v>
      </c>
      <c r="I57" s="38">
        <f>IFERROR((J17*(1+B57)/(I51-B57))/(1+I51)^5+F17/(1+I51)^1+G17/(1+I51)^2+H17/(1+I51)^3+I17/(1+I51)^4+J17/(1+I51)^5+Assumptions!C31-Assumptions!C32,0)/Assumptions!C33</f>
        <v>62.74087</v>
      </c>
    </row>
    <row r="58" ht="15.75" customHeight="1">
      <c r="B58" s="67">
        <v>0.04</v>
      </c>
      <c r="C58" s="68">
        <f>IFERROR((J17*(1+B58)/(C51-B58))/(1+C51)^5+F17/(1+C51)^1+G17/(1+C51)^2+H17/(1+C51)^3+I17/(1+C51)^4+J17/(1+C51)^5+Assumptions!C31-Assumptions!C32,0)/Assumptions!C33</f>
        <v>229.5332457</v>
      </c>
      <c r="D58" s="68">
        <f>IFERROR((J17*(1+B58)/(D51-B58))/(1+D51)^5+F17/(1+D51)^1+G17/(1+D51)^2+H17/(1+D51)^3+I17/(1+D51)^4+J17/(1+D51)^5+Assumptions!C31-Assumptions!C32,0)/Assumptions!C33</f>
        <v>185.4784003</v>
      </c>
      <c r="E58" s="68">
        <f>IFERROR((J17*(1+B58)/(E51-B58))/(1+E51)^5+F17/(1+E51)^1+G17/(1+E51)^2+H17/(1+E51)^3+I17/(1+E51)^4+J17/(1+E51)^5+Assumptions!C31-Assumptions!C32,0)/Assumptions!C33</f>
        <v>154.0080094</v>
      </c>
      <c r="F58" s="68">
        <f>IFERROR((J17*(1+B58)/(F51-B58))/(1+F51)^5+F17/(1+F51)^1+G17/(1+F51)^2+H17/(1+F51)^3+I17/(1+F51)^4+J17/(1+F51)^5+Assumptions!C31-Assumptions!C32,0)/Assumptions!C33</f>
        <v>120.6824287</v>
      </c>
      <c r="G58" s="68">
        <f>IFERROR((J17*(1+B58)/(G51-B58))/(1+G51)^5+F17/(1+G51)^1+G17/(1+G51)^2+H17/(1+G51)^3+I17/(1+G51)^4+J17/(1+G51)^5+Assumptions!C31-Assumptions!C32,0)/Assumptions!C33</f>
        <v>97.35055741</v>
      </c>
      <c r="H58" s="68">
        <f>IFERROR((J17*(1+B58)/(H51-B58))/(1+H51)^5+F17/(1+H51)^1+G17/(1+H51)^2+H17/(1+H51)^3+I17/(1+H51)^4+J17/(1+H51)^5+Assumptions!C31-Assumptions!C32,0)/Assumptions!C33</f>
        <v>85.32915778</v>
      </c>
      <c r="I58" s="68">
        <f>IFERROR((J17*(1+B58)/(I51-B58))/(1+I51)^5+F17/(1+I51)^1+G17/(1+I51)^2+H17/(1+I51)^3+I17/(1+I51)^4+J17/(1+I51)^5+Assumptions!C31-Assumptions!C32,0)/Assumptions!C33</f>
        <v>75.30992647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3:E43"/>
    <mergeCell ref="B50:J50"/>
    <mergeCell ref="B2:J2"/>
    <mergeCell ref="B3:J3"/>
    <mergeCell ref="C5:E5"/>
    <mergeCell ref="F5:J5"/>
    <mergeCell ref="B16:J16"/>
    <mergeCell ref="B19:J19"/>
    <mergeCell ref="B26:J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5" width="16.0"/>
    <col customWidth="1" min="6" max="6" width="2.0"/>
    <col customWidth="1" min="7" max="26" width="8.71"/>
  </cols>
  <sheetData>
    <row r="2" ht="27.75" customHeight="1">
      <c r="B2" s="39" t="s">
        <v>127</v>
      </c>
    </row>
    <row r="3" ht="12.75" customHeight="1">
      <c r="B3" s="26"/>
    </row>
    <row r="5" ht="19.5" customHeight="1">
      <c r="B5" s="33" t="s">
        <v>42</v>
      </c>
      <c r="C5" s="70" t="s">
        <v>128</v>
      </c>
      <c r="D5" s="33" t="s">
        <v>129</v>
      </c>
      <c r="E5" s="71" t="s">
        <v>130</v>
      </c>
    </row>
    <row r="6" ht="18.0" customHeight="1">
      <c r="B6" s="24" t="s">
        <v>131</v>
      </c>
      <c r="C6" s="25">
        <v>-0.05</v>
      </c>
      <c r="D6" s="25">
        <f>Assumptions!G23</f>
        <v>0.016</v>
      </c>
      <c r="E6" s="72">
        <v>0.06</v>
      </c>
    </row>
    <row r="7" ht="18.0" customHeight="1">
      <c r="B7" s="27" t="s">
        <v>132</v>
      </c>
      <c r="C7" s="28">
        <v>0.035</v>
      </c>
      <c r="D7" s="28">
        <f>Assumptions!G24</f>
        <v>0.057</v>
      </c>
      <c r="E7" s="73">
        <v>0.075</v>
      </c>
    </row>
    <row r="8" ht="18.0" customHeight="1">
      <c r="B8" s="24" t="s">
        <v>50</v>
      </c>
      <c r="C8" s="25">
        <v>0.24</v>
      </c>
      <c r="D8" s="25">
        <f>Assumptions!G25</f>
        <v>0.22</v>
      </c>
      <c r="E8" s="72">
        <v>0.2</v>
      </c>
    </row>
    <row r="9" ht="18.0" customHeight="1">
      <c r="B9" s="27" t="s">
        <v>17</v>
      </c>
      <c r="C9" s="28">
        <v>0.0</v>
      </c>
      <c r="D9" s="28">
        <f>Assumptions!C17</f>
        <v>0.02</v>
      </c>
      <c r="E9" s="73">
        <v>0.04</v>
      </c>
    </row>
    <row r="10" ht="18.0" customHeight="1">
      <c r="B10" s="24" t="s">
        <v>16</v>
      </c>
      <c r="C10" s="25">
        <v>0.095</v>
      </c>
      <c r="D10" s="25">
        <f>Assumptions!C14</f>
        <v>0.08511379</v>
      </c>
      <c r="E10" s="72">
        <v>0.07</v>
      </c>
    </row>
    <row r="12" ht="15.0" customHeight="1">
      <c r="B12" s="13" t="s">
        <v>133</v>
      </c>
      <c r="C12" s="4"/>
      <c r="D12" s="4"/>
      <c r="E12" s="5"/>
    </row>
    <row r="13" ht="19.5" customHeight="1">
      <c r="B13" s="54" t="s">
        <v>134</v>
      </c>
      <c r="C13" s="74">
        <v>47.97</v>
      </c>
      <c r="D13" s="75">
        <f>DCF!C46</f>
        <v>82.46571645</v>
      </c>
      <c r="E13" s="76">
        <v>154.04</v>
      </c>
    </row>
    <row r="14" ht="18.0" customHeight="1">
      <c r="B14" s="54" t="s">
        <v>135</v>
      </c>
      <c r="C14" s="64">
        <f>(C13-Assumptions!C34)/Assumptions!C34</f>
        <v>-0.552852349</v>
      </c>
      <c r="D14" s="77">
        <f>(D13-Assumptions!C34)/Assumptions!C34</f>
        <v>-0.2313039108</v>
      </c>
      <c r="E14" s="78">
        <f>(E13-Assumptions!C34)/Assumptions!C34</f>
        <v>0.4358687547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12:E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3" width="8.0"/>
    <col customWidth="1" min="4" max="5" width="12.0"/>
    <col customWidth="1" min="6" max="7" width="11.0"/>
    <col customWidth="1" min="8" max="9" width="12.0"/>
    <col customWidth="1" min="10" max="12" width="10.0"/>
    <col customWidth="1" min="13" max="26" width="8.71"/>
  </cols>
  <sheetData>
    <row r="2" ht="27.75" customHeight="1">
      <c r="B2" s="39" t="s">
        <v>136</v>
      </c>
    </row>
    <row r="3" ht="12.75" customHeight="1">
      <c r="B3" s="26" t="s">
        <v>137</v>
      </c>
    </row>
    <row r="5" ht="19.5" customHeight="1">
      <c r="B5" s="33" t="s">
        <v>138</v>
      </c>
      <c r="C5" s="33" t="s">
        <v>139</v>
      </c>
      <c r="D5" s="33" t="s">
        <v>140</v>
      </c>
      <c r="E5" s="33" t="s">
        <v>141</v>
      </c>
      <c r="F5" s="33" t="s">
        <v>66</v>
      </c>
      <c r="G5" s="33" t="s">
        <v>142</v>
      </c>
      <c r="H5" s="33" t="s">
        <v>70</v>
      </c>
      <c r="I5" s="33" t="s">
        <v>143</v>
      </c>
      <c r="J5" s="33" t="s">
        <v>144</v>
      </c>
      <c r="K5" s="33" t="s">
        <v>145</v>
      </c>
      <c r="L5" s="33" t="s">
        <v>146</v>
      </c>
    </row>
    <row r="6" ht="16.5" customHeight="1">
      <c r="B6" s="79" t="s">
        <v>147</v>
      </c>
      <c r="C6" s="80" t="s">
        <v>0</v>
      </c>
      <c r="D6" s="58">
        <v>11866.0</v>
      </c>
      <c r="E6" s="58">
        <v>15273.0</v>
      </c>
      <c r="F6" s="58">
        <v>15100.0</v>
      </c>
      <c r="G6" s="81">
        <v>-0.079</v>
      </c>
      <c r="H6" s="58">
        <v>1625.0</v>
      </c>
      <c r="I6" s="82">
        <f t="shared" ref="I6:I10" si="1">IFERROR(E6/H6,"-")</f>
        <v>9.398769231</v>
      </c>
      <c r="J6" s="81">
        <f t="shared" ref="J6:J10" si="2">IFERROR(H6/F6,"-")</f>
        <v>0.107615894</v>
      </c>
      <c r="K6" s="82">
        <f t="shared" ref="K6:K10" si="3">IFERROR(E6/F6,"-")</f>
        <v>1.011456954</v>
      </c>
      <c r="L6" s="82">
        <v>15.78</v>
      </c>
    </row>
    <row r="7" ht="16.5" customHeight="1">
      <c r="B7" s="27" t="s">
        <v>148</v>
      </c>
      <c r="C7" s="83" t="s">
        <v>149</v>
      </c>
      <c r="D7" s="36">
        <v>5236.0</v>
      </c>
      <c r="E7" s="36">
        <v>6100.0</v>
      </c>
      <c r="F7" s="36">
        <v>6500.0</v>
      </c>
      <c r="G7" s="47">
        <v>-0.054</v>
      </c>
      <c r="H7" s="36">
        <v>578.0</v>
      </c>
      <c r="I7" s="31">
        <f t="shared" si="1"/>
        <v>10.55363322</v>
      </c>
      <c r="J7" s="47">
        <f t="shared" si="2"/>
        <v>0.08892307692</v>
      </c>
      <c r="K7" s="31">
        <f t="shared" si="3"/>
        <v>0.9384615385</v>
      </c>
      <c r="L7" s="31">
        <v>16.6</v>
      </c>
    </row>
    <row r="8" ht="16.5" customHeight="1">
      <c r="B8" s="24" t="s">
        <v>150</v>
      </c>
      <c r="C8" s="84" t="s">
        <v>151</v>
      </c>
      <c r="D8" s="35">
        <v>3800.0</v>
      </c>
      <c r="E8" s="35">
        <v>4100.0</v>
      </c>
      <c r="F8" s="35">
        <v>6800.0</v>
      </c>
      <c r="G8" s="44">
        <v>-0.042</v>
      </c>
      <c r="H8" s="35">
        <v>490.0</v>
      </c>
      <c r="I8" s="32">
        <f t="shared" si="1"/>
        <v>8.367346939</v>
      </c>
      <c r="J8" s="44">
        <f t="shared" si="2"/>
        <v>0.07205882353</v>
      </c>
      <c r="K8" s="32">
        <f t="shared" si="3"/>
        <v>0.6029411765</v>
      </c>
      <c r="L8" s="32">
        <v>13.2</v>
      </c>
    </row>
    <row r="9" ht="16.5" customHeight="1">
      <c r="B9" s="27" t="s">
        <v>152</v>
      </c>
      <c r="C9" s="83" t="s">
        <v>153</v>
      </c>
      <c r="D9" s="36">
        <v>5200.0</v>
      </c>
      <c r="E9" s="36">
        <v>5600.0</v>
      </c>
      <c r="F9" s="36">
        <v>2900.0</v>
      </c>
      <c r="G9" s="47">
        <v>0.031</v>
      </c>
      <c r="H9" s="36">
        <v>520.0</v>
      </c>
      <c r="I9" s="31">
        <f t="shared" si="1"/>
        <v>10.76923077</v>
      </c>
      <c r="J9" s="47">
        <f t="shared" si="2"/>
        <v>0.1793103448</v>
      </c>
      <c r="K9" s="31">
        <f t="shared" si="3"/>
        <v>1.931034483</v>
      </c>
      <c r="L9" s="31">
        <v>19.4</v>
      </c>
    </row>
    <row r="10" ht="16.5" customHeight="1">
      <c r="B10" s="24" t="s">
        <v>154</v>
      </c>
      <c r="C10" s="84" t="s">
        <v>155</v>
      </c>
      <c r="D10" s="35">
        <v>6800.0</v>
      </c>
      <c r="E10" s="35">
        <v>7000.0</v>
      </c>
      <c r="F10" s="35">
        <v>1100.0</v>
      </c>
      <c r="G10" s="44">
        <v>0.072</v>
      </c>
      <c r="H10" s="35">
        <v>290.0</v>
      </c>
      <c r="I10" s="32">
        <f t="shared" si="1"/>
        <v>24.13793103</v>
      </c>
      <c r="J10" s="44">
        <f t="shared" si="2"/>
        <v>0.2636363636</v>
      </c>
      <c r="K10" s="32">
        <f t="shared" si="3"/>
        <v>6.363636364</v>
      </c>
      <c r="L10" s="32">
        <v>36.2</v>
      </c>
    </row>
    <row r="11" ht="16.5" customHeight="1">
      <c r="B11" s="85" t="s">
        <v>156</v>
      </c>
      <c r="C11" s="86" t="s">
        <v>157</v>
      </c>
      <c r="D11" s="87" t="str">
        <f t="shared" ref="D11:F11" si="4">IFERROR(AVERAGE(IF(ISNUMBER(D6:D10),D6:D10)),"")</f>
        <v/>
      </c>
      <c r="E11" s="87" t="str">
        <f t="shared" si="4"/>
        <v/>
      </c>
      <c r="F11" s="87" t="str">
        <f t="shared" si="4"/>
        <v/>
      </c>
      <c r="G11" s="88"/>
      <c r="H11" s="87" t="str">
        <f t="shared" ref="H11:L11" si="5">IFERROR(AVERAGE(IF(ISNUMBER(H6:H10),H6:H10)),"")</f>
        <v/>
      </c>
      <c r="I11" s="89" t="str">
        <f t="shared" si="5"/>
        <v/>
      </c>
      <c r="J11" s="90" t="str">
        <f t="shared" si="5"/>
        <v/>
      </c>
      <c r="K11" s="89" t="str">
        <f t="shared" si="5"/>
        <v/>
      </c>
      <c r="L11" s="89" t="str">
        <f t="shared" si="5"/>
        <v/>
      </c>
    </row>
    <row r="12" ht="16.5" customHeight="1">
      <c r="B12" s="85" t="s">
        <v>158</v>
      </c>
      <c r="C12" s="86" t="s">
        <v>157</v>
      </c>
      <c r="D12" s="87" t="str">
        <f t="shared" ref="D12:F12" si="6">IFERROR(MEDIAN(IF(ISNUMBER(D6:D10),D6:D10)),"")</f>
        <v/>
      </c>
      <c r="E12" s="87" t="str">
        <f t="shared" si="6"/>
        <v/>
      </c>
      <c r="F12" s="87" t="str">
        <f t="shared" si="6"/>
        <v/>
      </c>
      <c r="G12" s="88"/>
      <c r="H12" s="87" t="str">
        <f t="shared" ref="H12:L12" si="7">IFERROR(MEDIAN(IF(ISNUMBER(H6:H10),H6:H10)),"")</f>
        <v/>
      </c>
      <c r="I12" s="89" t="str">
        <f t="shared" si="7"/>
        <v/>
      </c>
      <c r="J12" s="90" t="str">
        <f t="shared" si="7"/>
        <v/>
      </c>
      <c r="K12" s="89" t="str">
        <f t="shared" si="7"/>
        <v/>
      </c>
      <c r="L12" s="89" t="str">
        <f t="shared" si="7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L2"/>
    <mergeCell ref="B3:L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6" width="14.0"/>
    <col customWidth="1" min="7" max="26" width="8.71"/>
  </cols>
  <sheetData>
    <row r="2" ht="27.75" customHeight="1">
      <c r="B2" s="39" t="s">
        <v>159</v>
      </c>
    </row>
    <row r="3" ht="12.75" customHeight="1">
      <c r="B3" s="26"/>
    </row>
    <row r="5" ht="19.5" customHeight="1">
      <c r="B5" s="33" t="s">
        <v>160</v>
      </c>
      <c r="C5" s="33" t="s">
        <v>161</v>
      </c>
      <c r="D5" s="33" t="s">
        <v>162</v>
      </c>
      <c r="E5" s="33" t="s">
        <v>163</v>
      </c>
      <c r="F5" s="33" t="s">
        <v>164</v>
      </c>
    </row>
    <row r="6" ht="21.75" customHeight="1">
      <c r="B6" s="50" t="s">
        <v>165</v>
      </c>
      <c r="C6" s="91">
        <f>DCF!C33*0.58</f>
        <v>42.75523746</v>
      </c>
      <c r="D6" s="91">
        <f>DCF!C33</f>
        <v>73.71592665</v>
      </c>
      <c r="E6" s="91">
        <f>DCF!C33*1.51</f>
        <v>111.3110492</v>
      </c>
      <c r="F6" s="92">
        <f>Assumptions!C34</f>
        <v>107.28</v>
      </c>
    </row>
    <row r="7" ht="21.75" customHeight="1">
      <c r="B7" s="42" t="s">
        <v>166</v>
      </c>
      <c r="C7" s="93">
        <f>DCF!C41*0.58</f>
        <v>52.90499362</v>
      </c>
      <c r="D7" s="93">
        <f>DCF!C41</f>
        <v>91.21550624</v>
      </c>
      <c r="E7" s="93">
        <f>DCF!C41*1.48</f>
        <v>134.9989492</v>
      </c>
      <c r="F7" s="92">
        <f>Assumptions!C34</f>
        <v>107.28</v>
      </c>
    </row>
    <row r="8" ht="21.75" customHeight="1">
      <c r="B8" s="50" t="s">
        <v>167</v>
      </c>
      <c r="C8" s="68">
        <f>94.35</f>
        <v>94.35</v>
      </c>
      <c r="D8" s="68">
        <f>122.69</f>
        <v>122.69</v>
      </c>
      <c r="E8" s="68">
        <f>151.03</f>
        <v>151.03</v>
      </c>
      <c r="F8" s="92">
        <f>Assumptions!C34</f>
        <v>107.28</v>
      </c>
    </row>
    <row r="9" ht="21.75" customHeight="1">
      <c r="B9" s="42" t="s">
        <v>168</v>
      </c>
      <c r="C9" s="38">
        <f>115</f>
        <v>115</v>
      </c>
      <c r="D9" s="38">
        <f>134.88</f>
        <v>134.88</v>
      </c>
      <c r="E9" s="38">
        <f>154</f>
        <v>154</v>
      </c>
      <c r="F9" s="92">
        <f>Assumptions!C34</f>
        <v>107.28</v>
      </c>
    </row>
    <row r="11" ht="21.75" customHeight="1">
      <c r="B11" s="79" t="s">
        <v>169</v>
      </c>
      <c r="C11" s="79"/>
      <c r="D11" s="94">
        <f>DCF!C46</f>
        <v>82.46571645</v>
      </c>
      <c r="E11" s="95">
        <f>DCF!C48</f>
        <v>-0.2313039108</v>
      </c>
      <c r="F11" s="92">
        <f>Assumptions!C34</f>
        <v>107.28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