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Financials" sheetId="3" r:id="rId7"/>
    <sheet state="visible" name="DCF" sheetId="4" r:id="rId8"/>
    <sheet state="visible" name="Scenarios" sheetId="5" r:id="rId9"/>
    <sheet state="visible" name="Comps" sheetId="6" r:id="rId10"/>
    <sheet state="visible" name="Football Field" sheetId="7" r:id="rId11"/>
  </sheets>
  <definedNames/>
  <calcPr/>
</workbook>
</file>

<file path=xl/sharedStrings.xml><?xml version="1.0" encoding="utf-8"?>
<sst xmlns="http://schemas.openxmlformats.org/spreadsheetml/2006/main" count="198" uniqueCount="183">
  <si>
    <t>MTN</t>
  </si>
  <si>
    <t>Vail Resorts, Inc.  |  NYSE: MTN  |  Consumer Discretionary — Travel, Leisure &amp; Experiences</t>
  </si>
  <si>
    <t>Recommendation</t>
  </si>
  <si>
    <t>Pitch Date</t>
  </si>
  <si>
    <t>Target Price</t>
  </si>
  <si>
    <t>Downside</t>
  </si>
  <si>
    <t>Current</t>
  </si>
  <si>
    <t>SELL</t>
  </si>
  <si>
    <t>February 2026</t>
  </si>
  <si>
    <t>Investment Thesis  |  SELL</t>
  </si>
  <si>
    <t xml:space="preserve">  •  Growth ceiling reached: Epic Pass penetration ~75% of visits caps future volume growth. Pass unit sales –2% YoY after 55% expansion over prior 5 years. Growth is now price-led, not volume-led.</t>
  </si>
  <si>
    <t xml:space="preserve">  •  Structural climate risk underpriced: snowpack projected to decline 20–30% by 2050. Early-season snowfall already –60% YoY in FY2026. Skier visits down 8% in 2023-24 on 28% annual snowfall drop.</t>
  </si>
  <si>
    <t xml:space="preserve">  •  High fixed-cost operating leverage amplifies earnings risk: SG&amp;A sticky at 13–15% of revenue. Small visitation changes drive EPS swings of –67% to +173% YoY.</t>
  </si>
  <si>
    <t xml:space="preserve">  •  Valuation premium not justified: MTN at 21.3x forward P/E vs. Consumer Discretionary average 15.8x and peer median 10.7x — despite EBITDA settling into low-single-digit growth.</t>
  </si>
  <si>
    <t xml:space="preserve">  •  Pitch validated: MTN declined significantly post-pitch as Q3 2026 earnings were hit by historic weather challenges, with guidance cut and visitation well below expectations.</t>
  </si>
  <si>
    <t>Key Assumptions (live from Assumptions tab)</t>
  </si>
  <si>
    <t>WACC (Override)</t>
  </si>
  <si>
    <t>Terminal Growth Rate</t>
  </si>
  <si>
    <t>EV/EBITDA Exit Multiple</t>
  </si>
  <si>
    <t>Tax Rate</t>
  </si>
  <si>
    <t>Shares Outstanding (M)</t>
  </si>
  <si>
    <t>Net Debt ($M)</t>
  </si>
  <si>
    <t>MTN — Model Assumptions</t>
  </si>
  <si>
    <t>WACC ASSUMPTIONS</t>
  </si>
  <si>
    <t>Risk-Free Rate (10-yr Treasury)</t>
  </si>
  <si>
    <t>Source: US Treasury, Feb 2026</t>
  </si>
  <si>
    <t>Equity Risk Premium</t>
  </si>
  <si>
    <t>Source: Damodaran, Feb 2026</t>
  </si>
  <si>
    <t>Levered Beta</t>
  </si>
  <si>
    <t>Source: FactSet, Feb 2026</t>
  </si>
  <si>
    <t xml:space="preserve">Cost of Equity </t>
  </si>
  <si>
    <t>Weight of Equity</t>
  </si>
  <si>
    <t>Pre-Tax Cost of Debt</t>
  </si>
  <si>
    <t>Effective Tax Rate</t>
  </si>
  <si>
    <t>After-Tax Cost of Debt</t>
  </si>
  <si>
    <t>Weight of Debt</t>
  </si>
  <si>
    <t xml:space="preserve">WACC </t>
  </si>
  <si>
    <t>Model WACC Used (override)</t>
  </si>
  <si>
    <t>TERMINAL VALUE ASSUMPTIONS</t>
  </si>
  <si>
    <t>Terminal Growth Rate (base)</t>
  </si>
  <si>
    <t>EV/EBITDA Exit Multiple (base)</t>
  </si>
  <si>
    <t>EV/EBITDA Exit Multiple (bear)</t>
  </si>
  <si>
    <t>PROJECTION ASSUMPTIONS (Base Case)</t>
  </si>
  <si>
    <t>Assumption</t>
  </si>
  <si>
    <t>FY2025</t>
  </si>
  <si>
    <t>FY2026</t>
  </si>
  <si>
    <t>FY2027</t>
  </si>
  <si>
    <t>FY2028</t>
  </si>
  <si>
    <t>FY2029</t>
  </si>
  <si>
    <t>Revenue Growth %</t>
  </si>
  <si>
    <t>EBITDA Margin %</t>
  </si>
  <si>
    <t>EBIT Margin %</t>
  </si>
  <si>
    <t>Tax Rate %</t>
  </si>
  <si>
    <t>D&amp;A ($M fixed)</t>
  </si>
  <si>
    <t>Capex ($M fixed)</t>
  </si>
  <si>
    <t>NWC Change ($M)</t>
  </si>
  <si>
    <t>BALANCE SHEET INPUTS</t>
  </si>
  <si>
    <t>Cash &amp; ST Investments ($M)</t>
  </si>
  <si>
    <t>Total Long-Term Debt ($M)</t>
  </si>
  <si>
    <t>Noncontrolling Interest ($M)</t>
  </si>
  <si>
    <t>Current Share Price ($)</t>
  </si>
  <si>
    <t>Vail Resorts, Inc. (MTN) — Historical Financials ($M)</t>
  </si>
  <si>
    <t>Source: FactSet / SEC 10-K filings. All USD millions.</t>
  </si>
  <si>
    <t>Line Item ($M)</t>
  </si>
  <si>
    <t>FY2020</t>
  </si>
  <si>
    <t>FY2021</t>
  </si>
  <si>
    <t>FY2022</t>
  </si>
  <si>
    <t>FY2023</t>
  </si>
  <si>
    <t>FY2024</t>
  </si>
  <si>
    <t>FY2025E</t>
  </si>
  <si>
    <t xml:space="preserve">INCOME STATEMENT </t>
  </si>
  <si>
    <t>Revenue</t>
  </si>
  <si>
    <t xml:space="preserve">  YoY Growth %</t>
  </si>
  <si>
    <t>EBITDA</t>
  </si>
  <si>
    <t>D&amp;A</t>
  </si>
  <si>
    <t>EBIT</t>
  </si>
  <si>
    <t xml:space="preserve">  EBIT Margin %</t>
  </si>
  <si>
    <t xml:space="preserve">  EBITDA Margin %</t>
  </si>
  <si>
    <t>Net Income</t>
  </si>
  <si>
    <t>EPS (Diluted)</t>
  </si>
  <si>
    <t xml:space="preserve">BALANCE SHEET </t>
  </si>
  <si>
    <t>Cash &amp; ST Investments</t>
  </si>
  <si>
    <t>Total Debt</t>
  </si>
  <si>
    <t xml:space="preserve">KEY METRICS </t>
  </si>
  <si>
    <t>Capex</t>
  </si>
  <si>
    <t>Dividend Per Share</t>
  </si>
  <si>
    <t>EPS YoY Change %</t>
  </si>
  <si>
    <t>Vail Resorts, Inc. (MTN) — DCF Model  |  SELL  |  Feb 2026</t>
  </si>
  <si>
    <t>All USD millions except per-share</t>
  </si>
  <si>
    <t xml:space="preserve"> Historical</t>
  </si>
  <si>
    <t xml:space="preserve">Projected </t>
  </si>
  <si>
    <t>FCF Build ($M)</t>
  </si>
  <si>
    <t>FY2026E</t>
  </si>
  <si>
    <t>FY2027E</t>
  </si>
  <si>
    <t>FY2028E</t>
  </si>
  <si>
    <t>FY2029E</t>
  </si>
  <si>
    <t>Revenue ($M)</t>
  </si>
  <si>
    <t xml:space="preserve">  Revenue Growth (YoY%)</t>
  </si>
  <si>
    <t>EBIT ($M)</t>
  </si>
  <si>
    <t xml:space="preserve">NOPAT </t>
  </si>
  <si>
    <t>(+) D&amp;A ($M)</t>
  </si>
  <si>
    <t>(−) Capex ($M)</t>
  </si>
  <si>
    <t>(−) Change in NWC ($M)</t>
  </si>
  <si>
    <t>Unlevered Free Cash Flow</t>
  </si>
  <si>
    <t>Unlevered FCF ($M)</t>
  </si>
  <si>
    <t>Discount Factors</t>
  </si>
  <si>
    <t>WACC (Model Override)</t>
  </si>
  <si>
    <t>Period</t>
  </si>
  <si>
    <t xml:space="preserve">Discount Factor </t>
  </si>
  <si>
    <t>Discounted FCF ($M)</t>
  </si>
  <si>
    <t>Sum of Discounted FCFs ($M)</t>
  </si>
  <si>
    <t>Terminal Value Calculations</t>
  </si>
  <si>
    <t>Method 1: EV/EBITDA Exit Multiple (Base)</t>
  </si>
  <si>
    <t xml:space="preserve">  Projected FY2029 EBITDA ($M)</t>
  </si>
  <si>
    <t xml:space="preserve">  EV/EBITDA Exit Multiple</t>
  </si>
  <si>
    <t xml:space="preserve">  Terminal Enterprise Value</t>
  </si>
  <si>
    <t xml:space="preserve">  Discounted Terminal EV</t>
  </si>
  <si>
    <t xml:space="preserve">  Total Enterprise Value</t>
  </si>
  <si>
    <t xml:space="preserve">  Implied Share Price (EV/EBITDA — Base)</t>
  </si>
  <si>
    <t>Method 2: Growing Perpetuity</t>
  </si>
  <si>
    <t xml:space="preserve">  Terminal Growth Rate</t>
  </si>
  <si>
    <t xml:space="preserve">  Year 5 FCF ($M)</t>
  </si>
  <si>
    <t xml:space="preserve">  Terminal Value </t>
  </si>
  <si>
    <t xml:space="preserve">  Discounted Terminal Value</t>
  </si>
  <si>
    <t xml:space="preserve">  Implied Share Price (Growing Perpetuity)</t>
  </si>
  <si>
    <t>Weighted Average Target Price</t>
  </si>
  <si>
    <t>Method 1 Weight (EV/EBITDA)</t>
  </si>
  <si>
    <t>Method 2 Weight (Growing Perpetuity)</t>
  </si>
  <si>
    <t>Current Share Price</t>
  </si>
  <si>
    <t>Implied Upside / (Downside)</t>
  </si>
  <si>
    <t>Sensitivity Analysis — Implied Share Price (EV/EBITDA Multiple vs WACC)</t>
  </si>
  <si>
    <t>WACC →</t>
  </si>
  <si>
    <t>Vail Resorts — Scenario Analysis</t>
  </si>
  <si>
    <t>Bear Case</t>
  </si>
  <si>
    <t>Base Case</t>
  </si>
  <si>
    <t>Bull Case</t>
  </si>
  <si>
    <t>Revenue Growth (FY2029)</t>
  </si>
  <si>
    <t>WACC</t>
  </si>
  <si>
    <t>Scenario Outputs</t>
  </si>
  <si>
    <t>Implied Share Price</t>
  </si>
  <si>
    <t>vs. Current Price</t>
  </si>
  <si>
    <t>Vail Resorts (MTN) — Comparable Company Analysis</t>
  </si>
  <si>
    <t>Source: FactSet, February 2026.  All USD millions.</t>
  </si>
  <si>
    <t>Company</t>
  </si>
  <si>
    <t>Ticker</t>
  </si>
  <si>
    <t>Mkt Cap</t>
  </si>
  <si>
    <t>EV</t>
  </si>
  <si>
    <t>Rev Growth</t>
  </si>
  <si>
    <t>EBITDA Margin</t>
  </si>
  <si>
    <t>EV/EBITDA</t>
  </si>
  <si>
    <t>EV/Sales</t>
  </si>
  <si>
    <t>P/E (NTM)</t>
  </si>
  <si>
    <t>Vail Resorts</t>
  </si>
  <si>
    <t>Travel + Leisure</t>
  </si>
  <si>
    <t>TNL</t>
  </si>
  <si>
    <t>Six Flags Entertainment</t>
  </si>
  <si>
    <t>FUN</t>
  </si>
  <si>
    <t>United Parks &amp; Resorts</t>
  </si>
  <si>
    <t>PRKS</t>
  </si>
  <si>
    <t>Hilton Grand Vacations</t>
  </si>
  <si>
    <t>HGV</t>
  </si>
  <si>
    <t>Marriott Vacations</t>
  </si>
  <si>
    <t>VAC</t>
  </si>
  <si>
    <t>Mean</t>
  </si>
  <si>
    <t>—</t>
  </si>
  <si>
    <t>Median</t>
  </si>
  <si>
    <t>Vail Resorts (MTN) — Valuation Football Field  |  SELL</t>
  </si>
  <si>
    <t>Methodology</t>
  </si>
  <si>
    <t>Low</t>
  </si>
  <si>
    <t>Base</t>
  </si>
  <si>
    <t>High</t>
  </si>
  <si>
    <t>Current Price</t>
  </si>
  <si>
    <t>DCF — EV/EBITDA Exit (6x–9.5x)</t>
  </si>
  <si>
    <t>DCF — Growing Perpetuity (0.5%–2.5% TGR)</t>
  </si>
  <si>
    <t>EV/EBITDA Comps (7x–10x applied to LTM)</t>
  </si>
  <si>
    <t>90.00</t>
  </si>
  <si>
    <t>110.00</t>
  </si>
  <si>
    <t>135.00</t>
  </si>
  <si>
    <t>52-Week Trading Range</t>
  </si>
  <si>
    <t>126.15</t>
  </si>
  <si>
    <t>150.83</t>
  </si>
  <si>
    <t>175.51</t>
  </si>
  <si>
    <t>WEIGHTED AVERAGE TARGET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</si>
</sst>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\$#,##0.00"/>
    <numFmt numFmtId="165" formatCode="\+0.0%;\(0.0%\);\-"/>
    <numFmt numFmtId="166" formatCode="0.0%;\(0.0%\);\-"/>
    <numFmt numFmtId="167" formatCode="0.0\x"/>
    <numFmt numFmtId="168" formatCode="#,##0.0"/>
    <numFmt numFmtId="169" formatCode="#,##0;\(#,##0\);\-"/>
    <numFmt numFmtId="170" formatCode="0.0%"/>
    <numFmt numFmtId="171" formatCode="0.0000"/>
  </numFmts>
  <fonts count="29">
    <font>
      <sz val="11.0"/>
      <color theme="1"/>
      <name val="Calibri"/>
      <scheme val="minor"/>
    </font>
    <font>
      <b/>
      <sz val="36.0"/>
      <color rgb="FF833C00"/>
      <name val="Arial"/>
    </font>
    <font>
      <sz val="12.0"/>
      <color rgb="FF595959"/>
      <name val="Arial"/>
    </font>
    <font>
      <sz val="11.0"/>
      <color theme="1"/>
      <name val="Calibri"/>
    </font>
    <font/>
    <font>
      <sz val="9.0"/>
      <color rgb="FF595959"/>
      <name val="Arial"/>
    </font>
    <font>
      <b/>
      <sz val="13.0"/>
      <color rgb="FF833C00"/>
      <name val="Arial"/>
    </font>
    <font>
      <b/>
      <sz val="10.0"/>
      <color rgb="FF833C00"/>
      <name val="Arial"/>
    </font>
    <font>
      <b/>
      <sz val="10.0"/>
      <color rgb="FF000000"/>
      <name val="Arial"/>
    </font>
    <font>
      <b/>
      <sz val="9.0"/>
      <color rgb="FFFFFFFF"/>
      <name val="Arial"/>
    </font>
    <font>
      <sz val="10.0"/>
      <color rgb="FF000000"/>
      <name val="Arial"/>
    </font>
    <font>
      <sz val="10.0"/>
      <color rgb="FF595959"/>
      <name val="Arial"/>
    </font>
    <font>
      <b/>
      <sz val="13.0"/>
      <color rgb="FF2E75B6"/>
      <name val="Arial"/>
    </font>
    <font>
      <sz val="10.0"/>
      <color rgb="FF434343"/>
      <name val="Arial"/>
    </font>
    <font>
      <sz val="8.0"/>
      <color rgb="FF595959"/>
      <name val="Arial"/>
    </font>
    <font>
      <sz val="11.0"/>
      <color rgb="FF000000"/>
      <name val="Calibri"/>
    </font>
    <font>
      <color rgb="FF000000"/>
      <name val="Calibri"/>
      <scheme val="minor"/>
    </font>
    <font>
      <b/>
      <sz val="9.0"/>
      <color rgb="FF000000"/>
      <name val="Arial"/>
    </font>
    <font>
      <b/>
      <sz val="10.0"/>
      <color rgb="FF7F6000"/>
      <name val="Arial"/>
    </font>
    <font>
      <sz val="10.0"/>
      <color rgb="FF008000"/>
      <name val="Arial"/>
    </font>
    <font>
      <b/>
      <sz val="11.0"/>
      <color rgb="FF833C00"/>
      <name val="Arial"/>
    </font>
    <font>
      <b/>
      <sz val="11.0"/>
      <color rgb="FF7F6000"/>
      <name val="Arial"/>
    </font>
    <font>
      <b/>
      <sz val="11.0"/>
      <color rgb="FF375623"/>
      <name val="Arial"/>
    </font>
    <font>
      <sz val="10.0"/>
      <color rgb="FF7F6000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rgb="FF008000"/>
      <name val="Arial"/>
    </font>
    <font>
      <b/>
      <sz val="13.0"/>
      <color rgb="FF7F6000"/>
      <name val="Arial"/>
    </font>
    <font>
      <b/>
      <sz val="12.0"/>
      <color rgb="FF833C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833C00"/>
        <bgColor rgb="FF833C00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1B2A4A"/>
        <bgColor rgb="FF1B2A4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A32020"/>
        <bgColor rgb="FFA32020"/>
      </patternFill>
    </fill>
    <fill>
      <patternFill patternType="solid">
        <fgColor rgb="FF1F6B2A"/>
        <bgColor rgb="FF1F6B2A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3" fontId="8" numFmtId="164" xfId="0" applyAlignment="1" applyBorder="1" applyFont="1" applyNumberFormat="1">
      <alignment horizontal="right" shrinkToFit="0" vertical="center" wrapText="0"/>
    </xf>
    <xf borderId="4" fillId="3" fontId="7" numFmtId="165" xfId="0" applyAlignment="1" applyBorder="1" applyFont="1" applyNumberFormat="1">
      <alignment horizontal="right" shrinkToFit="0" vertical="center" wrapText="0"/>
    </xf>
    <xf borderId="4" fillId="4" fontId="8" numFmtId="164" xfId="0" applyAlignment="1" applyBorder="1" applyFont="1" applyNumberFormat="1">
      <alignment horizontal="right" shrinkToFit="0" vertical="center" wrapText="0"/>
    </xf>
    <xf borderId="1" fillId="5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ill="1" applyFont="1">
      <alignment horizontal="left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0"/>
    </xf>
    <xf borderId="4" fillId="6" fontId="8" numFmtId="166" xfId="0" applyAlignment="1" applyBorder="1" applyFont="1" applyNumberFormat="1">
      <alignment horizontal="right" shrinkToFit="0" vertical="center" wrapText="0"/>
    </xf>
    <xf borderId="4" fillId="7" fontId="11" numFmtId="0" xfId="0" applyAlignment="1" applyBorder="1" applyFont="1">
      <alignment horizontal="left" shrinkToFit="0" vertical="center" wrapText="0"/>
    </xf>
    <xf borderId="4" fillId="7" fontId="8" numFmtId="166" xfId="0" applyAlignment="1" applyBorder="1" applyFont="1" applyNumberFormat="1">
      <alignment horizontal="right" shrinkToFit="0" vertical="center" wrapText="0"/>
    </xf>
    <xf borderId="4" fillId="6" fontId="8" numFmtId="167" xfId="0" applyAlignment="1" applyBorder="1" applyFont="1" applyNumberFormat="1">
      <alignment horizontal="right" shrinkToFit="0" vertical="center" wrapText="0"/>
    </xf>
    <xf borderId="4" fillId="6" fontId="8" numFmtId="168" xfId="0" applyAlignment="1" applyBorder="1" applyFont="1" applyNumberFormat="1">
      <alignment horizontal="right" shrinkToFit="0" vertical="center" wrapText="0"/>
    </xf>
    <xf borderId="4" fillId="7" fontId="8" numFmtId="169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readingOrder="0" shrinkToFit="0" vertical="bottom" wrapText="0"/>
    </xf>
    <xf borderId="4" fillId="6" fontId="10" numFmtId="0" xfId="0" applyAlignment="1" applyBorder="1" applyFont="1">
      <alignment horizontal="left" shrinkToFit="0" vertical="center" wrapText="0"/>
    </xf>
    <xf borderId="4" fillId="6" fontId="13" numFmtId="170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4" fillId="7" fontId="10" numFmtId="0" xfId="0" applyAlignment="1" applyBorder="1" applyFont="1">
      <alignment horizontal="left" shrinkToFit="0" vertical="center" wrapText="0"/>
    </xf>
    <xf borderId="4" fillId="7" fontId="13" numFmtId="170" xfId="0" applyAlignment="1" applyBorder="1" applyFont="1" applyNumberFormat="1">
      <alignment horizontal="right" shrinkToFit="0" vertical="center" wrapText="0"/>
    </xf>
    <xf borderId="4" fillId="6" fontId="13" numFmtId="2" xfId="0" applyAlignment="1" applyBorder="1" applyFont="1" applyNumberFormat="1">
      <alignment horizontal="right" shrinkToFit="0" vertical="center" wrapText="0"/>
    </xf>
    <xf borderId="4" fillId="7" fontId="10" numFmtId="0" xfId="0" applyAlignment="1" applyBorder="1" applyFont="1">
      <alignment horizontal="left" readingOrder="0" shrinkToFit="0" vertical="center" wrapText="0"/>
    </xf>
    <xf borderId="4" fillId="6" fontId="10" numFmtId="170" xfId="0" applyAlignment="1" applyBorder="1" applyFont="1" applyNumberFormat="1">
      <alignment horizontal="right" shrinkToFit="0" vertical="center" wrapText="0"/>
    </xf>
    <xf borderId="4" fillId="7" fontId="10" numFmtId="167" xfId="0" applyAlignment="1" applyBorder="1" applyFont="1" applyNumberFormat="1">
      <alignment horizontal="right" shrinkToFit="0" vertical="center" wrapText="0"/>
    </xf>
    <xf borderId="4" fillId="6" fontId="10" numFmtId="167" xfId="0" applyAlignment="1" applyBorder="1" applyFont="1" applyNumberFormat="1">
      <alignment horizontal="right" shrinkToFit="0" vertical="center" wrapText="0"/>
    </xf>
    <xf borderId="4" fillId="5" fontId="9" numFmtId="0" xfId="0" applyAlignment="1" applyBorder="1" applyFont="1">
      <alignment horizontal="center" shrinkToFit="0" vertical="center" wrapText="1"/>
    </xf>
    <xf borderId="4" fillId="7" fontId="10" numFmtId="170" xfId="0" applyAlignment="1" applyBorder="1" applyFont="1" applyNumberFormat="1">
      <alignment horizontal="right" shrinkToFit="0" vertical="center" wrapText="0"/>
    </xf>
    <xf borderId="4" fillId="6" fontId="10" numFmtId="169" xfId="0" applyAlignment="1" applyBorder="1" applyFont="1" applyNumberFormat="1">
      <alignment horizontal="right" shrinkToFit="0" vertical="center" wrapText="0"/>
    </xf>
    <xf borderId="4" fillId="7" fontId="10" numFmtId="169" xfId="0" applyAlignment="1" applyBorder="1" applyFont="1" applyNumberFormat="1">
      <alignment horizontal="right" shrinkToFit="0" vertical="center" wrapText="0"/>
    </xf>
    <xf borderId="4" fillId="7" fontId="10" numFmtId="168" xfId="0" applyAlignment="1" applyBorder="1" applyFont="1" applyNumberFormat="1">
      <alignment horizontal="right" shrinkToFit="0" vertical="center" wrapText="0"/>
    </xf>
    <xf borderId="4" fillId="6" fontId="10" numFmtId="164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1" fillId="8" fontId="9" numFmtId="0" xfId="0" applyAlignment="1" applyBorder="1" applyFill="1" applyFont="1">
      <alignment horizontal="left" readingOrder="0" shrinkToFit="0" vertical="center" wrapText="0"/>
    </xf>
    <xf borderId="4" fillId="7" fontId="8" numFmtId="0" xfId="0" applyAlignment="1" applyBorder="1" applyFont="1">
      <alignment horizontal="left" shrinkToFit="0" vertical="center" wrapText="0"/>
    </xf>
    <xf borderId="4" fillId="6" fontId="15" numFmtId="0" xfId="0" applyAlignment="1" applyBorder="1" applyFont="1">
      <alignment shrinkToFit="0" vertical="bottom" wrapText="0"/>
    </xf>
    <xf borderId="4" fillId="6" fontId="10" numFmtId="166" xfId="0" applyAlignment="1" applyBorder="1" applyFont="1" applyNumberFormat="1">
      <alignment horizontal="right" shrinkToFit="0" vertical="center" wrapText="0"/>
    </xf>
    <xf borderId="0" fillId="0" fontId="10" numFmtId="166" xfId="0" applyAlignment="1" applyFont="1" applyNumberFormat="1">
      <alignment horizontal="right" shrinkToFit="0" vertical="center" wrapText="0"/>
    </xf>
    <xf borderId="4" fillId="7" fontId="10" numFmtId="166" xfId="0" applyAlignment="1" applyBorder="1" applyFont="1" applyNumberFormat="1">
      <alignment horizontal="right" shrinkToFit="0" vertical="center" wrapText="0"/>
    </xf>
    <xf borderId="4" fillId="7" fontId="10" numFmtId="164" xfId="0" applyAlignment="1" applyBorder="1" applyFont="1" applyNumberFormat="1">
      <alignment horizontal="right" shrinkToFit="0" vertical="center" wrapText="0"/>
    </xf>
    <xf borderId="4" fillId="7" fontId="15" numFmtId="0" xfId="0" applyAlignment="1" applyBorder="1" applyFont="1">
      <alignment shrinkToFit="0" vertical="bottom" wrapText="0"/>
    </xf>
    <xf borderId="1" fillId="8" fontId="9" numFmtId="0" xfId="0" applyAlignment="1" applyBorder="1" applyFont="1">
      <alignment horizontal="center" readingOrder="0" shrinkToFit="0" vertical="center" wrapText="0"/>
    </xf>
    <xf borderId="1" fillId="9" fontId="9" numFmtId="0" xfId="0" applyAlignment="1" applyBorder="1" applyFill="1" applyFont="1">
      <alignment horizontal="center" readingOrder="0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6" fontId="8" numFmtId="169" xfId="0" applyAlignment="1" applyBorder="1" applyFont="1" applyNumberFormat="1">
      <alignment horizontal="right" shrinkToFit="0" vertical="center" wrapText="0"/>
    </xf>
    <xf borderId="4" fillId="6" fontId="10" numFmtId="0" xfId="0" applyAlignment="1" applyBorder="1" applyFont="1">
      <alignment horizontal="left" readingOrder="0" shrinkToFit="0" vertical="center" wrapText="0"/>
    </xf>
    <xf borderId="4" fillId="6" fontId="3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center" wrapText="0"/>
    </xf>
    <xf borderId="0" fillId="0" fontId="16" numFmtId="0" xfId="0" applyFont="1"/>
    <xf borderId="0" fillId="0" fontId="10" numFmtId="0" xfId="0" applyAlignment="1" applyFont="1">
      <alignment horizontal="left" shrinkToFit="0" vertical="center" wrapText="0"/>
    </xf>
    <xf borderId="0" fillId="0" fontId="10" numFmtId="1" xfId="0" applyAlignment="1" applyFont="1" applyNumberFormat="1">
      <alignment horizontal="right" shrinkToFit="0" vertical="center" wrapText="0"/>
    </xf>
    <xf borderId="4" fillId="6" fontId="10" numFmtId="171" xfId="0" applyAlignment="1" applyBorder="1" applyFont="1" applyNumberFormat="1">
      <alignment horizontal="right" shrinkToFit="0" vertical="center" wrapText="0"/>
    </xf>
    <xf borderId="4" fillId="10" fontId="8" numFmtId="169" xfId="0" applyAlignment="1" applyBorder="1" applyFill="1" applyFont="1" applyNumberFormat="1">
      <alignment horizontal="right" shrinkToFit="0" vertical="center" wrapText="0"/>
    </xf>
    <xf borderId="4" fillId="10" fontId="8" numFmtId="164" xfId="0" applyAlignment="1" applyBorder="1" applyFont="1" applyNumberFormat="1">
      <alignment horizontal="right" shrinkToFit="0" vertical="center" wrapText="0"/>
    </xf>
    <xf borderId="1" fillId="5" fontId="17" numFmtId="0" xfId="0" applyAlignment="1" applyBorder="1" applyFont="1">
      <alignment horizontal="left" shrinkToFit="0" vertical="center" wrapText="0"/>
    </xf>
    <xf borderId="0" fillId="0" fontId="10" numFmtId="170" xfId="0" applyAlignment="1" applyFont="1" applyNumberFormat="1">
      <alignment horizontal="righ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4" fillId="3" fontId="8" numFmtId="165" xfId="0" applyAlignment="1" applyBorder="1" applyFont="1" applyNumberFormat="1">
      <alignment horizontal="right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8" fontId="9" numFmtId="170" xfId="0" applyAlignment="1" applyBorder="1" applyFont="1" applyNumberFormat="1">
      <alignment horizontal="center" shrinkToFit="0" vertical="center" wrapText="0"/>
    </xf>
    <xf borderId="4" fillId="8" fontId="9" numFmtId="167" xfId="0" applyAlignment="1" applyBorder="1" applyFont="1" applyNumberFormat="1">
      <alignment horizontal="center" shrinkToFit="0" vertical="center" wrapText="0"/>
    </xf>
    <xf borderId="4" fillId="10" fontId="18" numFmtId="164" xfId="0" applyAlignment="1" applyBorder="1" applyFont="1" applyNumberFormat="1">
      <alignment horizontal="right" shrinkToFit="0" vertical="center" wrapText="0"/>
    </xf>
    <xf borderId="4" fillId="11" fontId="9" numFmtId="0" xfId="0" applyAlignment="1" applyBorder="1" applyFill="1" applyFont="1">
      <alignment horizontal="center" shrinkToFit="0" vertical="center" wrapText="1"/>
    </xf>
    <xf borderId="4" fillId="12" fontId="9" numFmtId="0" xfId="0" applyAlignment="1" applyBorder="1" applyFill="1" applyFont="1">
      <alignment horizontal="center" shrinkToFit="0" vertical="center" wrapText="1"/>
    </xf>
    <xf borderId="4" fillId="6" fontId="19" numFmtId="170" xfId="0" applyAlignment="1" applyBorder="1" applyFont="1" applyNumberFormat="1">
      <alignment horizontal="right" shrinkToFit="0" vertical="center" wrapText="0"/>
    </xf>
    <xf borderId="4" fillId="7" fontId="19" numFmtId="170" xfId="0" applyAlignment="1" applyBorder="1" applyFont="1" applyNumberFormat="1">
      <alignment horizontal="right" shrinkToFit="0" vertical="center" wrapText="0"/>
    </xf>
    <xf borderId="4" fillId="6" fontId="19" numFmtId="167" xfId="0" applyAlignment="1" applyBorder="1" applyFont="1" applyNumberFormat="1">
      <alignment horizontal="right" shrinkToFit="0" vertical="center" wrapText="0"/>
    </xf>
    <xf borderId="4" fillId="3" fontId="20" numFmtId="164" xfId="0" applyAlignment="1" applyBorder="1" applyFont="1" applyNumberFormat="1">
      <alignment horizontal="right" shrinkToFit="0" vertical="center" wrapText="0"/>
    </xf>
    <xf borderId="4" fillId="10" fontId="21" numFmtId="164" xfId="0" applyAlignment="1" applyBorder="1" applyFont="1" applyNumberFormat="1">
      <alignment horizontal="right" shrinkToFit="0" vertical="center" wrapText="0"/>
    </xf>
    <xf borderId="4" fillId="13" fontId="22" numFmtId="164" xfId="0" applyAlignment="1" applyBorder="1" applyFill="1" applyFont="1" applyNumberFormat="1">
      <alignment horizontal="right" shrinkToFit="0" vertical="center" wrapText="0"/>
    </xf>
    <xf borderId="4" fillId="10" fontId="8" numFmtId="165" xfId="0" applyAlignment="1" applyBorder="1" applyFont="1" applyNumberFormat="1">
      <alignment horizontal="right" shrinkToFit="0" vertical="center" wrapText="0"/>
    </xf>
    <xf borderId="4" fillId="13" fontId="8" numFmtId="165" xfId="0" applyAlignment="1" applyBorder="1" applyFont="1" applyNumberFormat="1">
      <alignment horizontal="right" shrinkToFit="0" vertical="center" wrapText="0"/>
    </xf>
    <xf borderId="4" fillId="10" fontId="18" numFmtId="0" xfId="0" applyAlignment="1" applyBorder="1" applyFont="1">
      <alignment horizontal="left" shrinkToFit="0" vertical="center" wrapText="0"/>
    </xf>
    <xf borderId="4" fillId="10" fontId="23" numFmtId="0" xfId="0" applyAlignment="1" applyBorder="1" applyFont="1">
      <alignment horizontal="center" shrinkToFit="0" vertical="center" wrapText="0"/>
    </xf>
    <xf borderId="4" fillId="10" fontId="18" numFmtId="169" xfId="0" applyAlignment="1" applyBorder="1" applyFont="1" applyNumberFormat="1">
      <alignment horizontal="right" shrinkToFit="0" vertical="center" wrapText="0"/>
    </xf>
    <xf borderId="4" fillId="10" fontId="10" numFmtId="166" xfId="0" applyAlignment="1" applyBorder="1" applyFont="1" applyNumberFormat="1">
      <alignment horizontal="right" shrinkToFit="0" vertical="center" wrapText="0"/>
    </xf>
    <xf borderId="4" fillId="10" fontId="10" numFmtId="167" xfId="0" applyAlignment="1" applyBorder="1" applyFont="1" applyNumberFormat="1">
      <alignment horizontal="right" shrinkToFit="0" vertical="center" wrapText="0"/>
    </xf>
    <xf borderId="4" fillId="7" fontId="10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4" fillId="5" fontId="24" numFmtId="0" xfId="0" applyAlignment="1" applyBorder="1" applyFont="1">
      <alignment horizontal="left" shrinkToFit="0" vertical="center" wrapText="0"/>
    </xf>
    <xf borderId="4" fillId="5" fontId="25" numFmtId="0" xfId="0" applyAlignment="1" applyBorder="1" applyFont="1">
      <alignment horizontal="center" shrinkToFit="0" vertical="center" wrapText="0"/>
    </xf>
    <xf borderId="4" fillId="5" fontId="24" numFmtId="169" xfId="0" applyAlignment="1" applyBorder="1" applyFont="1" applyNumberFormat="1">
      <alignment horizontal="right" shrinkToFit="0" vertical="center" wrapText="0"/>
    </xf>
    <xf borderId="4" fillId="5" fontId="3" numFmtId="0" xfId="0" applyAlignment="1" applyBorder="1" applyFont="1">
      <alignment shrinkToFit="0" vertical="bottom" wrapText="0"/>
    </xf>
    <xf borderId="4" fillId="5" fontId="24" numFmtId="166" xfId="0" applyAlignment="1" applyBorder="1" applyFont="1" applyNumberFormat="1">
      <alignment horizontal="right" shrinkToFit="0" vertical="center" wrapText="0"/>
    </xf>
    <xf borderId="4" fillId="5" fontId="24" numFmtId="167" xfId="0" applyAlignment="1" applyBorder="1" applyFont="1" applyNumberFormat="1">
      <alignment horizontal="right" shrinkToFit="0" vertical="center" wrapText="0"/>
    </xf>
    <xf borderId="4" fillId="6" fontId="19" numFmtId="164" xfId="0" applyAlignment="1" applyBorder="1" applyFont="1" applyNumberFormat="1">
      <alignment horizontal="right" shrinkToFit="0" vertical="center" wrapText="0"/>
    </xf>
    <xf borderId="4" fillId="10" fontId="26" numFmtId="164" xfId="0" applyAlignment="1" applyBorder="1" applyFont="1" applyNumberFormat="1">
      <alignment horizontal="right" shrinkToFit="0" vertical="center" wrapText="0"/>
    </xf>
    <xf borderId="4" fillId="7" fontId="19" numFmtId="164" xfId="0" applyAlignment="1" applyBorder="1" applyFont="1" applyNumberFormat="1">
      <alignment horizontal="right" shrinkToFit="0" vertical="center" wrapText="0"/>
    </xf>
    <xf borderId="4" fillId="10" fontId="27" numFmtId="164" xfId="0" applyAlignment="1" applyBorder="1" applyFont="1" applyNumberFormat="1">
      <alignment horizontal="right" shrinkToFit="0" vertical="center" wrapText="0"/>
    </xf>
    <xf borderId="4" fillId="3" fontId="28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Scenario Analysis — Implied Share Price vs. Current ($137.30)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Implied Share Price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Scenarios!$C$5:$E$5</c:f>
            </c:strRef>
          </c:cat>
          <c:val>
            <c:numRef>
              <c:f>Scenarios!$C$13:$E$13</c:f>
              <c:numCache/>
            </c:numRef>
          </c:val>
        </c:ser>
        <c:axId val="399284882"/>
        <c:axId val="1425030393"/>
      </c:barChart>
      <c:catAx>
        <c:axId val="399284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5030393"/>
      </c:catAx>
      <c:valAx>
        <c:axId val="1425030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Share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92848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EV/EBITDA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EV/EBITDA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Comps!$C$6:$C$11</c:f>
            </c:strRef>
          </c:cat>
          <c:val>
            <c:numRef>
              <c:f>Comps!$J$6:$J$11</c:f>
              <c:numCache/>
            </c:numRef>
          </c:val>
        </c:ser>
        <c:axId val="212900468"/>
        <c:axId val="612300709"/>
      </c:barChart>
      <c:catAx>
        <c:axId val="212900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2300709"/>
      </c:catAx>
      <c:valAx>
        <c:axId val="612300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EV/EBITDA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90046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Football Field Valuation Range</a:t>
            </a:r>
          </a:p>
        </c:rich>
      </c:tx>
      <c:overlay val="0"/>
    </c:title>
    <c:plotArea>
      <c:layout>
        <c:manualLayout>
          <c:xMode val="edge"/>
          <c:yMode val="edge"/>
          <c:x val="0.17735602094240838"/>
          <c:y val="0.12122807017543862"/>
          <c:w val="0.6977748691099477"/>
          <c:h val="0.7971929824561402"/>
        </c:manualLayout>
      </c:layout>
      <c:barChart>
        <c:barDir val="bar"/>
        <c:grouping val="stacked"/>
        <c:ser>
          <c:idx val="0"/>
          <c:order val="0"/>
          <c:tx>
            <c:v>Low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</c:dPt>
          <c:cat>
            <c:strRef>
              <c:f>'Football Field'!$B$6:$B$9</c:f>
            </c:strRef>
          </c:cat>
          <c:val>
            <c:numRef>
              <c:f>'Football Field'!$C$6:$C$9</c:f>
              <c:numCache/>
            </c:numRef>
          </c:val>
        </c:ser>
        <c:ser>
          <c:idx val="1"/>
          <c:order val="1"/>
          <c:tx>
            <c:v>High</c:v>
          </c:tx>
          <c:spPr>
            <a:solidFill>
              <a:srgbClr val="C0504D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'Football Field'!$B$6:$B$9</c:f>
            </c:strRef>
          </c:cat>
          <c:val>
            <c:numRef>
              <c:f>'Football Field'!$E$6:$E$9</c:f>
              <c:numCache/>
            </c:numRef>
          </c:val>
        </c:ser>
        <c:overlap val="100"/>
        <c:axId val="2057907166"/>
        <c:axId val="597613734"/>
      </c:barChart>
      <c:catAx>
        <c:axId val="20579071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Share Price ($)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7613734"/>
      </c:catAx>
      <c:valAx>
        <c:axId val="5976137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7907166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6143625" cy="4524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457825" cy="3762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12</xdr:row>
      <xdr:rowOff>19050</xdr:rowOff>
    </xdr:from>
    <xdr:ext cx="7277100" cy="4524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6" width="16.0"/>
    <col customWidth="1" min="7" max="26" width="8.71"/>
  </cols>
  <sheetData>
    <row r="1" ht="18.0" customHeight="1"/>
    <row r="2" ht="49.5" customHeight="1">
      <c r="B2" s="1" t="s">
        <v>0</v>
      </c>
    </row>
    <row r="3" ht="21.75" customHeight="1">
      <c r="B3" s="2" t="s">
        <v>1</v>
      </c>
    </row>
    <row r="4" ht="3.75" customHeight="1">
      <c r="B4" s="3"/>
      <c r="C4" s="4"/>
      <c r="D4" s="4"/>
      <c r="E4" s="4"/>
      <c r="F4" s="5"/>
    </row>
    <row r="5" ht="18.0" customHeight="1"/>
    <row r="6" ht="15.75" customHeight="1">
      <c r="B6" s="6" t="s">
        <v>2</v>
      </c>
      <c r="C6" s="6" t="s">
        <v>3</v>
      </c>
      <c r="D6" s="6" t="s">
        <v>4</v>
      </c>
      <c r="E6" s="6" t="s">
        <v>5</v>
      </c>
      <c r="F6" s="7" t="s">
        <v>6</v>
      </c>
    </row>
    <row r="7" ht="27.75" customHeight="1">
      <c r="B7" s="8" t="s">
        <v>7</v>
      </c>
      <c r="C7" s="9" t="s">
        <v>8</v>
      </c>
      <c r="D7" s="10">
        <f>DCF!C46</f>
        <v>88.51351614</v>
      </c>
      <c r="E7" s="11">
        <f>DCF!C48</f>
        <v>-0.3553276319</v>
      </c>
      <c r="F7" s="12">
        <f>Assumptions!C37</f>
        <v>137.3</v>
      </c>
    </row>
    <row r="8" ht="18.0" customHeight="1"/>
    <row r="9" ht="15.0" customHeight="1">
      <c r="B9" s="13" t="s">
        <v>9</v>
      </c>
      <c r="C9" s="4"/>
      <c r="D9" s="4"/>
      <c r="E9" s="4"/>
      <c r="F9" s="5"/>
    </row>
    <row r="10" ht="30.0" customHeight="1">
      <c r="B10" s="14" t="s">
        <v>10</v>
      </c>
      <c r="C10" s="4"/>
      <c r="D10" s="4"/>
      <c r="E10" s="4"/>
      <c r="F10" s="5"/>
    </row>
    <row r="11" ht="30.0" customHeight="1">
      <c r="B11" s="15" t="s">
        <v>11</v>
      </c>
      <c r="C11" s="4"/>
      <c r="D11" s="4"/>
      <c r="E11" s="4"/>
      <c r="F11" s="5"/>
    </row>
    <row r="12" ht="30.0" customHeight="1">
      <c r="B12" s="14" t="s">
        <v>12</v>
      </c>
      <c r="C12" s="4"/>
      <c r="D12" s="4"/>
      <c r="E12" s="4"/>
      <c r="F12" s="5"/>
    </row>
    <row r="13" ht="30.0" customHeight="1">
      <c r="B13" s="15" t="s">
        <v>13</v>
      </c>
      <c r="C13" s="4"/>
      <c r="D13" s="4"/>
      <c r="E13" s="4"/>
      <c r="F13" s="5"/>
    </row>
    <row r="14" ht="30.0" customHeight="1">
      <c r="B14" s="14" t="s">
        <v>14</v>
      </c>
      <c r="C14" s="4"/>
      <c r="D14" s="4"/>
      <c r="E14" s="4"/>
      <c r="F14" s="5"/>
    </row>
    <row r="15" ht="18.0" customHeight="1"/>
    <row r="16" ht="15.0" customHeight="1">
      <c r="B16" s="13" t="s">
        <v>15</v>
      </c>
      <c r="C16" s="4"/>
      <c r="D16" s="4"/>
      <c r="E16" s="4"/>
      <c r="F16" s="5"/>
    </row>
    <row r="17" ht="18.0" customHeight="1">
      <c r="B17" s="16" t="s">
        <v>16</v>
      </c>
      <c r="C17" s="17">
        <f>Assumptions!C15</f>
        <v>0.09</v>
      </c>
    </row>
    <row r="18" ht="18.0" customHeight="1">
      <c r="B18" s="18" t="s">
        <v>17</v>
      </c>
      <c r="C18" s="19">
        <f>Assumptions!C18</f>
        <v>0.015</v>
      </c>
    </row>
    <row r="19" ht="18.0" customHeight="1">
      <c r="B19" s="16" t="s">
        <v>18</v>
      </c>
      <c r="C19" s="20">
        <f>Assumptions!C19</f>
        <v>8</v>
      </c>
    </row>
    <row r="20" ht="18.0" customHeight="1">
      <c r="B20" s="18" t="s">
        <v>19</v>
      </c>
      <c r="C20" s="19">
        <f>Assumptions!C27</f>
        <v>0.25</v>
      </c>
    </row>
    <row r="21" ht="18.0" customHeight="1">
      <c r="B21" s="16" t="s">
        <v>20</v>
      </c>
      <c r="C21" s="21">
        <f>Assumptions!C36</f>
        <v>35.91</v>
      </c>
    </row>
    <row r="22" ht="18.0" customHeight="1">
      <c r="B22" s="18" t="s">
        <v>21</v>
      </c>
      <c r="C22" s="22">
        <f>Assumptions!C34-Assumptions!C33</f>
        <v>2819</v>
      </c>
    </row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3:F13"/>
    <mergeCell ref="B14:F14"/>
    <mergeCell ref="B16:F16"/>
    <mergeCell ref="B2:F2"/>
    <mergeCell ref="B3:F3"/>
    <mergeCell ref="B4:F4"/>
    <mergeCell ref="B9:F9"/>
    <mergeCell ref="B10:F10"/>
    <mergeCell ref="B11:F11"/>
    <mergeCell ref="B12:F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7" width="12.0"/>
    <col customWidth="1" min="8" max="26" width="8.71"/>
  </cols>
  <sheetData>
    <row r="2" ht="27.75" customHeight="1">
      <c r="B2" s="23" t="s">
        <v>22</v>
      </c>
    </row>
    <row r="4" ht="15.0" customHeight="1">
      <c r="B4" s="13" t="s">
        <v>23</v>
      </c>
      <c r="C4" s="4"/>
      <c r="D4" s="5"/>
    </row>
    <row r="5" ht="15.75" customHeight="1">
      <c r="B5" s="24" t="s">
        <v>24</v>
      </c>
      <c r="C5" s="25">
        <v>0.042</v>
      </c>
      <c r="D5" s="26" t="s">
        <v>25</v>
      </c>
    </row>
    <row r="6" ht="15.75" customHeight="1">
      <c r="B6" s="27" t="s">
        <v>26</v>
      </c>
      <c r="C6" s="28">
        <v>0.055</v>
      </c>
      <c r="D6" s="26" t="s">
        <v>27</v>
      </c>
    </row>
    <row r="7" ht="15.75" customHeight="1">
      <c r="B7" s="24" t="s">
        <v>28</v>
      </c>
      <c r="C7" s="29">
        <v>0.9</v>
      </c>
      <c r="D7" s="26" t="s">
        <v>29</v>
      </c>
    </row>
    <row r="8" ht="15.75" customHeight="1">
      <c r="B8" s="30" t="s">
        <v>30</v>
      </c>
      <c r="C8" s="28">
        <f>C5+C7*C6</f>
        <v>0.0915</v>
      </c>
      <c r="D8" s="26"/>
    </row>
    <row r="9" ht="15.75" customHeight="1">
      <c r="B9" s="24" t="s">
        <v>31</v>
      </c>
      <c r="C9" s="25">
        <v>0.59</v>
      </c>
      <c r="D9" s="26"/>
    </row>
    <row r="10" ht="15.75" customHeight="1">
      <c r="B10" s="27" t="s">
        <v>32</v>
      </c>
      <c r="C10" s="28">
        <v>0.053</v>
      </c>
      <c r="D10" s="26"/>
    </row>
    <row r="11" ht="15.75" customHeight="1">
      <c r="B11" s="24" t="s">
        <v>33</v>
      </c>
      <c r="C11" s="25">
        <v>0.25</v>
      </c>
      <c r="D11" s="26"/>
    </row>
    <row r="12" ht="15.75" customHeight="1">
      <c r="B12" s="30" t="s">
        <v>34</v>
      </c>
      <c r="C12" s="28">
        <f>C10*(1-C11)</f>
        <v>0.03975</v>
      </c>
      <c r="D12" s="26"/>
    </row>
    <row r="13" ht="15.75" customHeight="1">
      <c r="B13" s="24" t="s">
        <v>35</v>
      </c>
      <c r="C13" s="25">
        <v>0.41</v>
      </c>
      <c r="D13" s="26"/>
    </row>
    <row r="14" ht="15.75" customHeight="1">
      <c r="B14" s="30" t="s">
        <v>36</v>
      </c>
      <c r="C14" s="28">
        <f>C8*C9+C12*C13</f>
        <v>0.0702825</v>
      </c>
      <c r="D14" s="26"/>
    </row>
    <row r="15" ht="15.75" customHeight="1">
      <c r="B15" s="24" t="s">
        <v>37</v>
      </c>
      <c r="C15" s="25">
        <v>0.09</v>
      </c>
      <c r="D15" s="26"/>
    </row>
    <row r="17" ht="15.0" customHeight="1">
      <c r="B17" s="13" t="s">
        <v>38</v>
      </c>
      <c r="C17" s="4"/>
      <c r="D17" s="5"/>
    </row>
    <row r="18" ht="15.75" customHeight="1">
      <c r="B18" s="24" t="s">
        <v>39</v>
      </c>
      <c r="C18" s="31">
        <v>0.015</v>
      </c>
    </row>
    <row r="19" ht="15.75" customHeight="1">
      <c r="B19" s="27" t="s">
        <v>40</v>
      </c>
      <c r="C19" s="32">
        <v>8.0</v>
      </c>
    </row>
    <row r="20" ht="15.75" customHeight="1">
      <c r="B20" s="24" t="s">
        <v>41</v>
      </c>
      <c r="C20" s="33">
        <v>6.0</v>
      </c>
    </row>
    <row r="21" ht="15.75" customHeight="1"/>
    <row r="22" ht="15.0" customHeight="1">
      <c r="B22" s="13" t="s">
        <v>42</v>
      </c>
      <c r="C22" s="4"/>
      <c r="D22" s="5"/>
    </row>
    <row r="23" ht="19.5" customHeight="1">
      <c r="B23" s="34" t="s">
        <v>43</v>
      </c>
      <c r="C23" s="34" t="s">
        <v>44</v>
      </c>
      <c r="D23" s="34" t="s">
        <v>45</v>
      </c>
      <c r="E23" s="34" t="s">
        <v>46</v>
      </c>
      <c r="F23" s="34" t="s">
        <v>47</v>
      </c>
      <c r="G23" s="34" t="s">
        <v>48</v>
      </c>
    </row>
    <row r="24" ht="15.75" customHeight="1">
      <c r="B24" s="24" t="s">
        <v>49</v>
      </c>
      <c r="C24" s="31">
        <v>0.023</v>
      </c>
      <c r="D24" s="31">
        <v>0.03</v>
      </c>
      <c r="E24" s="31">
        <v>0.025</v>
      </c>
      <c r="F24" s="31">
        <v>0.025</v>
      </c>
      <c r="G24" s="31">
        <v>0.02</v>
      </c>
    </row>
    <row r="25" ht="15.75" customHeight="1">
      <c r="B25" s="27" t="s">
        <v>50</v>
      </c>
      <c r="C25" s="35">
        <v>0.27</v>
      </c>
      <c r="D25" s="35">
        <v>0.27</v>
      </c>
      <c r="E25" s="35">
        <v>0.27</v>
      </c>
      <c r="F25" s="35">
        <v>0.27</v>
      </c>
      <c r="G25" s="35">
        <v>0.27</v>
      </c>
    </row>
    <row r="26" ht="15.75" customHeight="1">
      <c r="B26" s="24" t="s">
        <v>51</v>
      </c>
      <c r="C26" s="31">
        <v>0.17</v>
      </c>
      <c r="D26" s="31">
        <v>0.173</v>
      </c>
      <c r="E26" s="31">
        <v>0.173</v>
      </c>
      <c r="F26" s="31">
        <v>0.167</v>
      </c>
      <c r="G26" s="31">
        <v>0.169</v>
      </c>
    </row>
    <row r="27" ht="15.75" customHeight="1">
      <c r="B27" s="27" t="s">
        <v>52</v>
      </c>
      <c r="C27" s="35">
        <v>0.25</v>
      </c>
      <c r="D27" s="35">
        <v>0.25</v>
      </c>
      <c r="E27" s="35">
        <v>0.25</v>
      </c>
      <c r="F27" s="35">
        <v>0.25</v>
      </c>
      <c r="G27" s="35">
        <v>0.25</v>
      </c>
    </row>
    <row r="28" ht="15.75" customHeight="1">
      <c r="B28" s="24" t="s">
        <v>53</v>
      </c>
      <c r="C28" s="36">
        <v>296.0</v>
      </c>
      <c r="D28" s="36">
        <v>297.0</v>
      </c>
      <c r="E28" s="36">
        <v>305.0</v>
      </c>
      <c r="F28" s="36">
        <v>330.0</v>
      </c>
      <c r="G28" s="36">
        <v>330.0</v>
      </c>
    </row>
    <row r="29" ht="15.75" customHeight="1">
      <c r="B29" s="27" t="s">
        <v>54</v>
      </c>
      <c r="C29" s="37">
        <v>-208.0</v>
      </c>
      <c r="D29" s="37">
        <v>-208.0</v>
      </c>
      <c r="E29" s="37">
        <v>-219.0</v>
      </c>
      <c r="F29" s="37">
        <v>-257.0</v>
      </c>
      <c r="G29" s="37">
        <v>-262.0</v>
      </c>
    </row>
    <row r="30" ht="15.75" customHeight="1">
      <c r="B30" s="24" t="s">
        <v>55</v>
      </c>
      <c r="C30" s="36">
        <v>-1.0</v>
      </c>
      <c r="D30" s="36">
        <v>-1.0</v>
      </c>
      <c r="E30" s="36">
        <v>-1.0</v>
      </c>
      <c r="F30" s="36">
        <v>-1.0</v>
      </c>
      <c r="G30" s="36">
        <v>-1.0</v>
      </c>
    </row>
    <row r="31" ht="15.75" customHeight="1"/>
    <row r="32" ht="15.0" customHeight="1">
      <c r="B32" s="13" t="s">
        <v>56</v>
      </c>
      <c r="C32" s="4"/>
      <c r="D32" s="5"/>
    </row>
    <row r="33" ht="15.75" customHeight="1">
      <c r="B33" s="24" t="s">
        <v>57</v>
      </c>
      <c r="C33" s="36">
        <v>601.0</v>
      </c>
    </row>
    <row r="34" ht="15.75" customHeight="1">
      <c r="B34" s="27" t="s">
        <v>58</v>
      </c>
      <c r="C34" s="37">
        <v>3420.0</v>
      </c>
    </row>
    <row r="35" ht="15.75" customHeight="1">
      <c r="B35" s="24" t="s">
        <v>59</v>
      </c>
      <c r="C35" s="36">
        <v>312.0</v>
      </c>
    </row>
    <row r="36" ht="15.75" customHeight="1">
      <c r="B36" s="27" t="s">
        <v>20</v>
      </c>
      <c r="C36" s="38">
        <v>35.91</v>
      </c>
    </row>
    <row r="37" ht="15.75" customHeight="1">
      <c r="B37" s="24" t="s">
        <v>60</v>
      </c>
      <c r="C37" s="39">
        <v>137.3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D2"/>
    <mergeCell ref="B4:D4"/>
    <mergeCell ref="B17:D17"/>
    <mergeCell ref="B22:D22"/>
    <mergeCell ref="B32:D3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8" width="13.0"/>
    <col customWidth="1" min="9" max="9" width="2.0"/>
    <col customWidth="1" min="10" max="26" width="8.71"/>
  </cols>
  <sheetData>
    <row r="2" ht="27.75" customHeight="1">
      <c r="B2" s="40" t="s">
        <v>61</v>
      </c>
    </row>
    <row r="3" ht="12.75" customHeight="1">
      <c r="B3" s="41" t="s">
        <v>62</v>
      </c>
    </row>
    <row r="5" ht="18.0" customHeight="1">
      <c r="B5" s="34" t="s">
        <v>63</v>
      </c>
      <c r="C5" s="34" t="s">
        <v>64</v>
      </c>
      <c r="D5" s="34" t="s">
        <v>65</v>
      </c>
      <c r="E5" s="34" t="s">
        <v>66</v>
      </c>
      <c r="F5" s="34" t="s">
        <v>67</v>
      </c>
      <c r="G5" s="34" t="s">
        <v>68</v>
      </c>
      <c r="H5" s="34" t="s">
        <v>69</v>
      </c>
    </row>
    <row r="6" ht="15.0" customHeight="1">
      <c r="B6" s="42" t="s">
        <v>70</v>
      </c>
      <c r="C6" s="4"/>
      <c r="D6" s="4"/>
      <c r="E6" s="4"/>
      <c r="F6" s="4"/>
      <c r="G6" s="4"/>
      <c r="H6" s="5"/>
    </row>
    <row r="7" ht="15.0" customHeight="1">
      <c r="B7" s="43" t="s">
        <v>71</v>
      </c>
      <c r="C7" s="22">
        <v>1278.0</v>
      </c>
      <c r="D7" s="22">
        <v>1541.0</v>
      </c>
      <c r="E7" s="22">
        <v>2085.0</v>
      </c>
      <c r="F7" s="22">
        <v>2891.0</v>
      </c>
      <c r="G7" s="22">
        <v>2896.0</v>
      </c>
      <c r="H7" s="22">
        <v>2964.0</v>
      </c>
    </row>
    <row r="8" ht="15.0" customHeight="1">
      <c r="B8" s="24" t="s">
        <v>72</v>
      </c>
      <c r="C8" s="44"/>
      <c r="D8" s="44"/>
      <c r="E8" s="45">
        <f t="shared" ref="E8:I8" si="1">IFERROR((E7-D7)/D7,"")</f>
        <v>0.3530175211</v>
      </c>
      <c r="F8" s="45">
        <f t="shared" si="1"/>
        <v>0.3865707434</v>
      </c>
      <c r="G8" s="45">
        <f t="shared" si="1"/>
        <v>0.001729505361</v>
      </c>
      <c r="H8" s="45">
        <f t="shared" si="1"/>
        <v>0.02348066298</v>
      </c>
      <c r="I8" s="46">
        <f t="shared" si="1"/>
        <v>-1</v>
      </c>
    </row>
    <row r="9" ht="15.0" customHeight="1">
      <c r="B9" s="43" t="s">
        <v>73</v>
      </c>
      <c r="C9" s="22">
        <v>170.0</v>
      </c>
      <c r="D9" s="22">
        <v>415.0</v>
      </c>
      <c r="E9" s="22">
        <v>562.0</v>
      </c>
      <c r="F9" s="22">
        <v>820.0</v>
      </c>
      <c r="G9" s="22">
        <v>838.0</v>
      </c>
      <c r="H9" s="22">
        <v>800.0</v>
      </c>
    </row>
    <row r="10" ht="15.0" customHeight="1">
      <c r="B10" s="24" t="s">
        <v>74</v>
      </c>
      <c r="C10" s="36">
        <v>183.0</v>
      </c>
      <c r="D10" s="36">
        <v>195.0</v>
      </c>
      <c r="E10" s="36">
        <v>296.0</v>
      </c>
      <c r="F10" s="36">
        <v>297.0</v>
      </c>
      <c r="G10" s="36">
        <v>296.0</v>
      </c>
      <c r="H10" s="44"/>
    </row>
    <row r="11" ht="15.0" customHeight="1">
      <c r="B11" s="43" t="s">
        <v>75</v>
      </c>
      <c r="C11" s="22">
        <v>-14.0</v>
      </c>
      <c r="D11" s="22">
        <v>220.0</v>
      </c>
      <c r="E11" s="22">
        <v>266.0</v>
      </c>
      <c r="F11" s="22">
        <v>523.0</v>
      </c>
      <c r="G11" s="22">
        <v>542.0</v>
      </c>
      <c r="H11" s="22">
        <v>504.0</v>
      </c>
    </row>
    <row r="12" ht="15.0" customHeight="1">
      <c r="B12" s="24" t="s">
        <v>76</v>
      </c>
      <c r="C12" s="45">
        <f t="shared" ref="C12:H12" si="2">IFERROR(C11/C7,"")</f>
        <v>-0.01095461659</v>
      </c>
      <c r="D12" s="45">
        <f t="shared" si="2"/>
        <v>0.1427644387</v>
      </c>
      <c r="E12" s="45">
        <f t="shared" si="2"/>
        <v>0.1275779376</v>
      </c>
      <c r="F12" s="45">
        <f t="shared" si="2"/>
        <v>0.1809062608</v>
      </c>
      <c r="G12" s="45">
        <f t="shared" si="2"/>
        <v>0.1871546961</v>
      </c>
      <c r="H12" s="45">
        <f t="shared" si="2"/>
        <v>0.1700404858</v>
      </c>
    </row>
    <row r="13" ht="15.0" customHeight="1">
      <c r="B13" s="27" t="s">
        <v>77</v>
      </c>
      <c r="C13" s="47">
        <f t="shared" ref="C13:H13" si="3">IFERROR(C9/C7,"")</f>
        <v>0.1330203443</v>
      </c>
      <c r="D13" s="47">
        <f t="shared" si="3"/>
        <v>0.2693056457</v>
      </c>
      <c r="E13" s="47">
        <f t="shared" si="3"/>
        <v>0.2695443645</v>
      </c>
      <c r="F13" s="47">
        <f t="shared" si="3"/>
        <v>0.2836388793</v>
      </c>
      <c r="G13" s="47">
        <f t="shared" si="3"/>
        <v>0.2893646409</v>
      </c>
      <c r="H13" s="47">
        <f t="shared" si="3"/>
        <v>0.2699055331</v>
      </c>
    </row>
    <row r="14" ht="15.0" customHeight="1">
      <c r="B14" s="24" t="s">
        <v>78</v>
      </c>
      <c r="C14" s="36">
        <v>-212.0</v>
      </c>
      <c r="D14" s="36">
        <v>35.0</v>
      </c>
      <c r="E14" s="36">
        <v>180.0</v>
      </c>
      <c r="F14" s="36">
        <v>246.0</v>
      </c>
      <c r="G14" s="36">
        <v>280.0</v>
      </c>
      <c r="H14" s="36">
        <v>201.0</v>
      </c>
    </row>
    <row r="15" ht="15.0" customHeight="1">
      <c r="B15" s="27" t="s">
        <v>79</v>
      </c>
      <c r="C15" s="48">
        <v>-5.47</v>
      </c>
      <c r="D15" s="48">
        <v>0.97</v>
      </c>
      <c r="E15" s="48">
        <v>4.83</v>
      </c>
      <c r="F15" s="48">
        <v>6.66</v>
      </c>
      <c r="G15" s="48">
        <v>7.81</v>
      </c>
      <c r="H15" s="48">
        <v>5.62</v>
      </c>
    </row>
    <row r="16" ht="15.0" customHeight="1">
      <c r="B16" s="42" t="s">
        <v>80</v>
      </c>
      <c r="C16" s="4"/>
      <c r="D16" s="4"/>
      <c r="E16" s="4"/>
      <c r="F16" s="4"/>
      <c r="G16" s="4"/>
      <c r="H16" s="5"/>
    </row>
    <row r="17" ht="15.0" customHeight="1">
      <c r="B17" s="27" t="s">
        <v>81</v>
      </c>
      <c r="C17" s="37">
        <v>405.0</v>
      </c>
      <c r="D17" s="37">
        <v>440.0</v>
      </c>
      <c r="E17" s="37">
        <v>620.0</v>
      </c>
      <c r="F17" s="37">
        <v>628.0</v>
      </c>
      <c r="G17" s="37">
        <v>601.0</v>
      </c>
      <c r="H17" s="49"/>
    </row>
    <row r="18" ht="15.0" customHeight="1">
      <c r="B18" s="24" t="s">
        <v>82</v>
      </c>
      <c r="C18" s="36">
        <v>2822.0</v>
      </c>
      <c r="D18" s="36">
        <v>2877.0</v>
      </c>
      <c r="E18" s="36">
        <v>2877.0</v>
      </c>
      <c r="F18" s="36">
        <v>3213.0</v>
      </c>
      <c r="G18" s="36">
        <v>3420.0</v>
      </c>
      <c r="H18" s="36">
        <v>3420.0</v>
      </c>
    </row>
    <row r="19" ht="15.0" customHeight="1">
      <c r="B19" s="42" t="s">
        <v>83</v>
      </c>
      <c r="C19" s="4"/>
      <c r="D19" s="4"/>
      <c r="E19" s="4"/>
      <c r="F19" s="4"/>
      <c r="G19" s="4"/>
      <c r="H19" s="5"/>
    </row>
    <row r="20" ht="15.0" customHeight="1">
      <c r="B20" s="24" t="s">
        <v>84</v>
      </c>
      <c r="C20" s="36">
        <v>127.0</v>
      </c>
      <c r="D20" s="36">
        <v>127.0</v>
      </c>
      <c r="E20" s="36">
        <v>200.0</v>
      </c>
      <c r="F20" s="36">
        <v>210.0</v>
      </c>
      <c r="G20" s="36">
        <v>210.0</v>
      </c>
      <c r="H20" s="36">
        <v>208.0</v>
      </c>
    </row>
    <row r="21" ht="15.0" customHeight="1">
      <c r="B21" s="27" t="s">
        <v>85</v>
      </c>
      <c r="C21" s="48">
        <v>0.0</v>
      </c>
      <c r="D21" s="48">
        <v>4.84</v>
      </c>
      <c r="E21" s="48">
        <v>7.84</v>
      </c>
      <c r="F21" s="48">
        <v>8.0</v>
      </c>
      <c r="G21" s="48">
        <v>8.0</v>
      </c>
      <c r="H21" s="48">
        <v>8.71</v>
      </c>
    </row>
    <row r="22" ht="15.0" customHeight="1">
      <c r="B22" s="24" t="s">
        <v>86</v>
      </c>
      <c r="C22" s="44"/>
      <c r="D22" s="44"/>
      <c r="E22" s="44"/>
      <c r="F22" s="45">
        <v>0.379</v>
      </c>
      <c r="G22" s="45">
        <v>-0.097</v>
      </c>
      <c r="H22" s="4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6:H6"/>
    <mergeCell ref="B16:H16"/>
    <mergeCell ref="B19:H1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41.86"/>
    <col customWidth="1" min="3" max="9" width="13.0"/>
    <col customWidth="1" min="10" max="26" width="8.71"/>
  </cols>
  <sheetData>
    <row r="2" ht="27.75" customHeight="1">
      <c r="B2" s="40" t="s">
        <v>87</v>
      </c>
    </row>
    <row r="3" ht="12.75" customHeight="1">
      <c r="B3" s="41" t="s">
        <v>88</v>
      </c>
    </row>
    <row r="5" ht="13.5" customHeight="1">
      <c r="C5" s="50" t="s">
        <v>89</v>
      </c>
      <c r="D5" s="5"/>
      <c r="E5" s="51" t="s">
        <v>90</v>
      </c>
      <c r="F5" s="4"/>
      <c r="G5" s="4"/>
      <c r="H5" s="4"/>
      <c r="I5" s="5"/>
    </row>
    <row r="6" ht="19.5" customHeight="1">
      <c r="B6" s="34" t="s">
        <v>91</v>
      </c>
      <c r="C6" s="34" t="s">
        <v>67</v>
      </c>
      <c r="D6" s="34" t="s">
        <v>68</v>
      </c>
      <c r="E6" s="34" t="s">
        <v>69</v>
      </c>
      <c r="F6" s="34" t="s">
        <v>92</v>
      </c>
      <c r="G6" s="34" t="s">
        <v>93</v>
      </c>
      <c r="H6" s="34" t="s">
        <v>94</v>
      </c>
      <c r="I6" s="34" t="s">
        <v>95</v>
      </c>
    </row>
    <row r="7" ht="15.75" customHeight="1">
      <c r="B7" s="52" t="s">
        <v>96</v>
      </c>
      <c r="C7" s="53">
        <f>Financials!F7</f>
        <v>2891</v>
      </c>
      <c r="D7" s="53">
        <f>Financials!G7</f>
        <v>2896</v>
      </c>
      <c r="E7" s="53">
        <f>D7*(1+Assumptions!C24)</f>
        <v>2962.608</v>
      </c>
      <c r="F7" s="53">
        <f>E7*(1+Assumptions!D24)</f>
        <v>3051.48624</v>
      </c>
      <c r="G7" s="53">
        <f>F7*(1+Assumptions!E24)</f>
        <v>3127.773396</v>
      </c>
      <c r="H7" s="53">
        <f>G7*(1+Assumptions!F24)</f>
        <v>3205.967731</v>
      </c>
      <c r="I7" s="53">
        <f>H7*(1+Assumptions!G24)</f>
        <v>3270.087086</v>
      </c>
    </row>
    <row r="8" ht="13.5" customHeight="1">
      <c r="B8" s="18" t="s">
        <v>97</v>
      </c>
      <c r="C8" s="49"/>
      <c r="D8" s="47">
        <f t="shared" ref="D8:I8" si="1">IFERROR((D7-C7)/C7,"")</f>
        <v>0.001729505361</v>
      </c>
      <c r="E8" s="47">
        <f t="shared" si="1"/>
        <v>0.023</v>
      </c>
      <c r="F8" s="47">
        <f t="shared" si="1"/>
        <v>0.03</v>
      </c>
      <c r="G8" s="47">
        <f t="shared" si="1"/>
        <v>0.025</v>
      </c>
      <c r="H8" s="47">
        <f t="shared" si="1"/>
        <v>0.025</v>
      </c>
      <c r="I8" s="47">
        <f t="shared" si="1"/>
        <v>0.02</v>
      </c>
    </row>
    <row r="9" ht="15.75" customHeight="1">
      <c r="B9" s="24" t="s">
        <v>98</v>
      </c>
      <c r="C9" s="36">
        <f>Financials!F11</f>
        <v>523</v>
      </c>
      <c r="D9" s="36">
        <f>Financials!G11</f>
        <v>542</v>
      </c>
      <c r="E9" s="36">
        <f>E7*Assumptions!C26</f>
        <v>503.64336</v>
      </c>
      <c r="F9" s="36">
        <f>F7*Assumptions!D26</f>
        <v>527.9071195</v>
      </c>
      <c r="G9" s="36">
        <f>G7*Assumptions!E26</f>
        <v>541.1047975</v>
      </c>
      <c r="H9" s="36">
        <f>H7*Assumptions!F26</f>
        <v>535.3966111</v>
      </c>
      <c r="I9" s="36">
        <f>I7*Assumptions!G26</f>
        <v>552.6447175</v>
      </c>
    </row>
    <row r="10" ht="13.5" customHeight="1">
      <c r="B10" s="18" t="s">
        <v>76</v>
      </c>
      <c r="C10" s="47">
        <f t="shared" ref="C10:I10" si="2">IFERROR(C9/C7,"")</f>
        <v>0.1809062608</v>
      </c>
      <c r="D10" s="47">
        <f t="shared" si="2"/>
        <v>0.1871546961</v>
      </c>
      <c r="E10" s="47">
        <f t="shared" si="2"/>
        <v>0.17</v>
      </c>
      <c r="F10" s="47">
        <f t="shared" si="2"/>
        <v>0.173</v>
      </c>
      <c r="G10" s="47">
        <f t="shared" si="2"/>
        <v>0.173</v>
      </c>
      <c r="H10" s="47">
        <f t="shared" si="2"/>
        <v>0.167</v>
      </c>
      <c r="I10" s="47">
        <f t="shared" si="2"/>
        <v>0.169</v>
      </c>
    </row>
    <row r="11" ht="15.75" customHeight="1">
      <c r="B11" s="54" t="s">
        <v>99</v>
      </c>
      <c r="C11" s="36">
        <f t="shared" ref="C11:D11" si="3">C9*(1-0.25)</f>
        <v>392.25</v>
      </c>
      <c r="D11" s="36">
        <f t="shared" si="3"/>
        <v>406.5</v>
      </c>
      <c r="E11" s="36">
        <f>E9*(1-Assumptions!C27)</f>
        <v>377.73252</v>
      </c>
      <c r="F11" s="36">
        <f>F9*(1-Assumptions!D27)</f>
        <v>395.9303396</v>
      </c>
      <c r="G11" s="36">
        <f>G9*(1-Assumptions!E27)</f>
        <v>405.8285981</v>
      </c>
      <c r="H11" s="36">
        <f>H9*(1-Assumptions!F27)</f>
        <v>401.5474583</v>
      </c>
      <c r="I11" s="36">
        <f>I9*(1-Assumptions!G27)</f>
        <v>414.4835381</v>
      </c>
    </row>
    <row r="12" ht="15.75" customHeight="1">
      <c r="B12" s="27" t="s">
        <v>100</v>
      </c>
      <c r="C12" s="37">
        <f>Financials!F10</f>
        <v>297</v>
      </c>
      <c r="D12" s="37">
        <f>Financials!G10</f>
        <v>296</v>
      </c>
      <c r="E12" s="37">
        <f>Assumptions!C28</f>
        <v>296</v>
      </c>
      <c r="F12" s="37">
        <f>Assumptions!D28</f>
        <v>297</v>
      </c>
      <c r="G12" s="37">
        <f>Assumptions!E28</f>
        <v>305</v>
      </c>
      <c r="H12" s="37">
        <f>Assumptions!F28</f>
        <v>330</v>
      </c>
      <c r="I12" s="37">
        <f>Assumptions!G28</f>
        <v>330</v>
      </c>
    </row>
    <row r="13" ht="15.75" customHeight="1">
      <c r="B13" s="24" t="s">
        <v>101</v>
      </c>
      <c r="C13" s="44"/>
      <c r="D13" s="44"/>
      <c r="E13" s="36">
        <f>Assumptions!C29</f>
        <v>-208</v>
      </c>
      <c r="F13" s="36">
        <f>Assumptions!D29</f>
        <v>-208</v>
      </c>
      <c r="G13" s="36">
        <f>Assumptions!E29</f>
        <v>-219</v>
      </c>
      <c r="H13" s="36">
        <f>Assumptions!F29</f>
        <v>-257</v>
      </c>
      <c r="I13" s="36">
        <f>Assumptions!G29</f>
        <v>-262</v>
      </c>
    </row>
    <row r="14" ht="15.75" customHeight="1">
      <c r="B14" s="27" t="s">
        <v>102</v>
      </c>
      <c r="C14" s="49"/>
      <c r="D14" s="49"/>
      <c r="E14" s="37">
        <f>Assumptions!C30</f>
        <v>-1</v>
      </c>
      <c r="F14" s="37">
        <f>Assumptions!D30</f>
        <v>-1</v>
      </c>
      <c r="G14" s="37">
        <f>Assumptions!E30</f>
        <v>-1</v>
      </c>
      <c r="H14" s="37">
        <f>Assumptions!F30</f>
        <v>-1</v>
      </c>
      <c r="I14" s="37">
        <f>Assumptions!G30</f>
        <v>-1</v>
      </c>
    </row>
    <row r="16" ht="15.0" customHeight="1">
      <c r="B16" s="13" t="s">
        <v>103</v>
      </c>
      <c r="C16" s="4"/>
      <c r="D16" s="4"/>
      <c r="E16" s="4"/>
      <c r="F16" s="4"/>
      <c r="G16" s="4"/>
      <c r="H16" s="4"/>
      <c r="I16" s="5"/>
    </row>
    <row r="17" ht="18.0" customHeight="1">
      <c r="B17" s="52" t="s">
        <v>104</v>
      </c>
      <c r="C17" s="55"/>
      <c r="D17" s="55"/>
      <c r="E17" s="53">
        <f t="shared" ref="E17:I17" si="4">E11+E12+E13+E14</f>
        <v>464.73252</v>
      </c>
      <c r="F17" s="53">
        <f t="shared" si="4"/>
        <v>483.9303396</v>
      </c>
      <c r="G17" s="53">
        <f t="shared" si="4"/>
        <v>490.8285981</v>
      </c>
      <c r="H17" s="53">
        <f t="shared" si="4"/>
        <v>473.5474583</v>
      </c>
      <c r="I17" s="53">
        <f t="shared" si="4"/>
        <v>481.4835381</v>
      </c>
    </row>
    <row r="19" ht="15.0" customHeight="1">
      <c r="B19" s="13" t="s">
        <v>105</v>
      </c>
      <c r="C19" s="4"/>
      <c r="D19" s="4"/>
      <c r="E19" s="4"/>
      <c r="F19" s="4"/>
      <c r="G19" s="4"/>
      <c r="H19" s="4"/>
      <c r="I19" s="5"/>
    </row>
    <row r="20" ht="15.75" customHeight="1">
      <c r="B20" s="56" t="s">
        <v>106</v>
      </c>
      <c r="C20" s="57"/>
      <c r="D20" s="57"/>
      <c r="E20" s="46">
        <f>Assumptions!C15</f>
        <v>0.09</v>
      </c>
      <c r="F20" s="46">
        <f>Assumptions!C15</f>
        <v>0.09</v>
      </c>
      <c r="G20" s="46">
        <f>Assumptions!C15</f>
        <v>0.09</v>
      </c>
      <c r="H20" s="46">
        <f>Assumptions!C15</f>
        <v>0.09</v>
      </c>
      <c r="I20" s="46">
        <f>Assumptions!C15</f>
        <v>0.09</v>
      </c>
    </row>
    <row r="21" ht="15.75" customHeight="1">
      <c r="B21" s="58" t="s">
        <v>107</v>
      </c>
      <c r="C21" s="57"/>
      <c r="D21" s="57"/>
      <c r="E21" s="59">
        <v>1.0</v>
      </c>
      <c r="F21" s="59">
        <v>2.0</v>
      </c>
      <c r="G21" s="59">
        <v>3.0</v>
      </c>
      <c r="H21" s="59">
        <v>4.0</v>
      </c>
      <c r="I21" s="59">
        <v>5.0</v>
      </c>
    </row>
    <row r="22" ht="15.75" customHeight="1">
      <c r="B22" s="54" t="s">
        <v>108</v>
      </c>
      <c r="C22" s="44"/>
      <c r="D22" s="44"/>
      <c r="E22" s="60">
        <f t="shared" ref="E22:I22" si="5">1/(1+$E$20)^E21</f>
        <v>0.9174311927</v>
      </c>
      <c r="F22" s="60">
        <f t="shared" si="5"/>
        <v>0.8416799933</v>
      </c>
      <c r="G22" s="60">
        <f t="shared" si="5"/>
        <v>0.7721834801</v>
      </c>
      <c r="H22" s="60">
        <f t="shared" si="5"/>
        <v>0.7084252111</v>
      </c>
      <c r="I22" s="60">
        <f t="shared" si="5"/>
        <v>0.6499313863</v>
      </c>
    </row>
    <row r="23" ht="18.0" customHeight="1">
      <c r="B23" s="56" t="s">
        <v>109</v>
      </c>
      <c r="C23" s="57"/>
      <c r="D23" s="57"/>
      <c r="E23" s="53">
        <f t="shared" ref="E23:I23" si="6">E17*E22</f>
        <v>426.3601101</v>
      </c>
      <c r="F23" s="53">
        <f t="shared" si="6"/>
        <v>407.314485</v>
      </c>
      <c r="G23" s="53">
        <f t="shared" si="6"/>
        <v>379.009735</v>
      </c>
      <c r="H23" s="53">
        <f t="shared" si="6"/>
        <v>335.4729581</v>
      </c>
      <c r="I23" s="53">
        <f t="shared" si="6"/>
        <v>312.9312634</v>
      </c>
    </row>
    <row r="24" ht="15.75" customHeight="1">
      <c r="B24" s="56" t="s">
        <v>110</v>
      </c>
      <c r="C24" s="57"/>
      <c r="D24" s="57"/>
      <c r="E24" s="61">
        <f>SUM(E23:I23)</f>
        <v>1861.088552</v>
      </c>
      <c r="F24" s="57"/>
      <c r="G24" s="57"/>
      <c r="H24" s="57"/>
      <c r="I24" s="57"/>
    </row>
    <row r="25" ht="15.75" customHeight="1">
      <c r="B25" s="57"/>
      <c r="C25" s="57"/>
      <c r="D25" s="57"/>
      <c r="E25" s="57"/>
      <c r="F25" s="57"/>
      <c r="G25" s="57"/>
      <c r="H25" s="57"/>
      <c r="I25" s="57"/>
    </row>
    <row r="26" ht="15.0" customHeight="1">
      <c r="B26" s="13" t="s">
        <v>111</v>
      </c>
      <c r="C26" s="4"/>
      <c r="D26" s="4"/>
      <c r="E26" s="4"/>
      <c r="F26" s="4"/>
      <c r="G26" s="4"/>
      <c r="H26" s="4"/>
      <c r="I26" s="5"/>
    </row>
    <row r="27" ht="15.75" customHeight="1">
      <c r="B27" s="56" t="s">
        <v>112</v>
      </c>
      <c r="C27" s="57"/>
      <c r="D27" s="57"/>
      <c r="E27" s="57"/>
      <c r="F27" s="57"/>
      <c r="G27" s="57"/>
      <c r="H27" s="57"/>
      <c r="I27" s="57"/>
    </row>
    <row r="28" ht="15.75" customHeight="1">
      <c r="B28" s="24" t="s">
        <v>113</v>
      </c>
      <c r="C28" s="36">
        <f>I7*Assumptions!C25</f>
        <v>882.9235131</v>
      </c>
      <c r="D28" s="44"/>
      <c r="E28" s="44"/>
      <c r="F28" s="44"/>
      <c r="G28" s="44"/>
      <c r="H28" s="44"/>
      <c r="I28" s="44"/>
    </row>
    <row r="29" ht="15.75" customHeight="1">
      <c r="B29" s="27" t="s">
        <v>114</v>
      </c>
      <c r="C29" s="32">
        <f>Assumptions!C19</f>
        <v>8</v>
      </c>
      <c r="D29" s="49"/>
      <c r="E29" s="49"/>
      <c r="F29" s="49"/>
      <c r="G29" s="49"/>
      <c r="H29" s="49"/>
      <c r="I29" s="49"/>
    </row>
    <row r="30" ht="15.75" customHeight="1">
      <c r="B30" s="24" t="s">
        <v>115</v>
      </c>
      <c r="C30" s="36">
        <f>C28*C29</f>
        <v>7063.388105</v>
      </c>
      <c r="D30" s="44"/>
      <c r="E30" s="44"/>
      <c r="F30" s="44"/>
      <c r="G30" s="44"/>
      <c r="H30" s="44"/>
      <c r="I30" s="44"/>
    </row>
    <row r="31" ht="15.75" customHeight="1">
      <c r="B31" s="27" t="s">
        <v>116</v>
      </c>
      <c r="C31" s="37">
        <f>C30/(1+$E$20)^5</f>
        <v>4590.717623</v>
      </c>
      <c r="D31" s="49"/>
      <c r="E31" s="49"/>
      <c r="F31" s="49"/>
      <c r="G31" s="49"/>
      <c r="H31" s="49"/>
      <c r="I31" s="49"/>
    </row>
    <row r="32" ht="15.75" customHeight="1">
      <c r="B32" s="24" t="s">
        <v>117</v>
      </c>
      <c r="C32" s="53">
        <f>E24+C31</f>
        <v>6451.806174</v>
      </c>
      <c r="D32" s="44"/>
      <c r="E32" s="44"/>
      <c r="F32" s="44"/>
      <c r="G32" s="44"/>
      <c r="H32" s="44"/>
      <c r="I32" s="44"/>
    </row>
    <row r="33" ht="18.0" customHeight="1">
      <c r="B33" s="56" t="s">
        <v>118</v>
      </c>
      <c r="C33" s="62">
        <f>(C32-Assumptions!C34-Assumptions!C35+Assumptions!C33)/Assumptions!C36</f>
        <v>92.47580547</v>
      </c>
      <c r="D33" s="57"/>
      <c r="E33" s="57"/>
      <c r="F33" s="57"/>
      <c r="G33" s="57"/>
      <c r="H33" s="57"/>
      <c r="I33" s="57"/>
    </row>
    <row r="34" ht="15.75" customHeight="1">
      <c r="B34" s="57"/>
      <c r="C34" s="57"/>
      <c r="D34" s="57"/>
      <c r="E34" s="57"/>
      <c r="F34" s="57"/>
      <c r="G34" s="57"/>
      <c r="H34" s="57"/>
      <c r="I34" s="57"/>
    </row>
    <row r="35" ht="15.75" customHeight="1">
      <c r="B35" s="56" t="s">
        <v>119</v>
      </c>
      <c r="C35" s="57"/>
      <c r="D35" s="57"/>
      <c r="E35" s="57"/>
      <c r="F35" s="57"/>
      <c r="G35" s="57"/>
      <c r="H35" s="57"/>
      <c r="I35" s="57"/>
    </row>
    <row r="36" ht="15.75" customHeight="1">
      <c r="B36" s="24" t="s">
        <v>120</v>
      </c>
      <c r="C36" s="45">
        <f>Assumptions!C18</f>
        <v>0.015</v>
      </c>
      <c r="D36" s="44"/>
      <c r="E36" s="44"/>
      <c r="F36" s="44"/>
      <c r="G36" s="44"/>
      <c r="H36" s="44"/>
      <c r="I36" s="44"/>
    </row>
    <row r="37" ht="15.75" customHeight="1">
      <c r="B37" s="27" t="s">
        <v>121</v>
      </c>
      <c r="C37" s="37">
        <f>I17</f>
        <v>481.4835381</v>
      </c>
      <c r="D37" s="49"/>
      <c r="E37" s="49"/>
      <c r="F37" s="49"/>
      <c r="G37" s="49"/>
      <c r="H37" s="49"/>
      <c r="I37" s="49"/>
    </row>
    <row r="38" ht="15.75" customHeight="1">
      <c r="B38" s="54" t="s">
        <v>122</v>
      </c>
      <c r="C38" s="36">
        <f>C37*(1+C36)/($E$20-C36)</f>
        <v>6516.077215</v>
      </c>
      <c r="D38" s="44"/>
      <c r="E38" s="44"/>
      <c r="F38" s="44"/>
      <c r="G38" s="44"/>
      <c r="H38" s="44"/>
      <c r="I38" s="44"/>
    </row>
    <row r="39" ht="15.75" customHeight="1">
      <c r="B39" s="27" t="s">
        <v>123</v>
      </c>
      <c r="C39" s="37">
        <f>C38/(1+$E$20)^5</f>
        <v>4235.003098</v>
      </c>
      <c r="D39" s="49"/>
      <c r="E39" s="49"/>
      <c r="F39" s="49"/>
      <c r="G39" s="49"/>
      <c r="H39" s="49"/>
      <c r="I39" s="49"/>
    </row>
    <row r="40" ht="15.75" customHeight="1">
      <c r="B40" s="24" t="s">
        <v>117</v>
      </c>
      <c r="C40" s="53">
        <f>E24+C39</f>
        <v>6096.091649</v>
      </c>
      <c r="D40" s="44"/>
      <c r="E40" s="44"/>
      <c r="F40" s="44"/>
      <c r="G40" s="44"/>
      <c r="H40" s="44"/>
      <c r="I40" s="44"/>
    </row>
    <row r="41" ht="18.0" customHeight="1">
      <c r="B41" s="56" t="s">
        <v>124</v>
      </c>
      <c r="C41" s="62">
        <f>(C40-Assumptions!C34-Assumptions!C35+Assumptions!C33)/Assumptions!C36</f>
        <v>82.57008214</v>
      </c>
      <c r="D41" s="57"/>
      <c r="E41" s="57"/>
      <c r="F41" s="57"/>
      <c r="G41" s="57"/>
      <c r="H41" s="57"/>
      <c r="I41" s="57"/>
    </row>
    <row r="42" ht="15.75" customHeight="1">
      <c r="B42" s="57"/>
      <c r="C42" s="57"/>
      <c r="D42" s="57"/>
      <c r="E42" s="57"/>
      <c r="F42" s="57"/>
      <c r="G42" s="57"/>
      <c r="H42" s="57"/>
      <c r="I42" s="57"/>
    </row>
    <row r="43" ht="15.0" customHeight="1">
      <c r="B43" s="63" t="s">
        <v>125</v>
      </c>
      <c r="C43" s="4"/>
      <c r="D43" s="4"/>
      <c r="E43" s="5"/>
      <c r="F43" s="57"/>
      <c r="G43" s="57"/>
      <c r="H43" s="57"/>
      <c r="I43" s="57"/>
    </row>
    <row r="44" ht="15.75" customHeight="1">
      <c r="B44" s="58" t="s">
        <v>126</v>
      </c>
      <c r="C44" s="64">
        <v>0.6</v>
      </c>
      <c r="D44" s="57"/>
      <c r="E44" s="57"/>
      <c r="F44" s="57"/>
      <c r="G44" s="57"/>
      <c r="H44" s="57"/>
      <c r="I44" s="57"/>
    </row>
    <row r="45" ht="15.75" customHeight="1">
      <c r="B45" s="58" t="s">
        <v>127</v>
      </c>
      <c r="C45" s="64">
        <v>0.4</v>
      </c>
      <c r="D45" s="57"/>
      <c r="E45" s="57"/>
      <c r="F45" s="57"/>
      <c r="G45" s="57"/>
      <c r="H45" s="57"/>
      <c r="I45" s="57"/>
    </row>
    <row r="46" ht="19.5" customHeight="1">
      <c r="B46" s="56" t="s">
        <v>125</v>
      </c>
      <c r="C46" s="62">
        <f>C33*C44+C41*C45</f>
        <v>88.51351614</v>
      </c>
      <c r="D46" s="57"/>
      <c r="E46" s="57"/>
      <c r="F46" s="57"/>
      <c r="G46" s="57"/>
      <c r="H46" s="57"/>
      <c r="I46" s="57"/>
    </row>
    <row r="47" ht="15.75" customHeight="1">
      <c r="B47" s="56" t="s">
        <v>128</v>
      </c>
      <c r="C47" s="65">
        <f>Assumptions!C37</f>
        <v>137.3</v>
      </c>
      <c r="D47" s="57"/>
      <c r="E47" s="57"/>
      <c r="F47" s="57"/>
      <c r="G47" s="57"/>
      <c r="H47" s="57"/>
      <c r="I47" s="57"/>
    </row>
    <row r="48" ht="18.0" customHeight="1">
      <c r="B48" s="56" t="s">
        <v>129</v>
      </c>
      <c r="C48" s="66">
        <f>(C46-C47)/C47</f>
        <v>-0.3553276319</v>
      </c>
      <c r="D48" s="57"/>
      <c r="E48" s="57"/>
      <c r="F48" s="57"/>
      <c r="G48" s="57"/>
      <c r="H48" s="57"/>
      <c r="I48" s="57"/>
    </row>
    <row r="49" ht="15.75" customHeight="1"/>
    <row r="50" ht="15.0" customHeight="1">
      <c r="B50" s="13" t="s">
        <v>130</v>
      </c>
      <c r="C50" s="4"/>
      <c r="D50" s="4"/>
      <c r="E50" s="4"/>
      <c r="F50" s="4"/>
      <c r="G50" s="4"/>
      <c r="H50" s="4"/>
      <c r="I50" s="5"/>
    </row>
    <row r="51" ht="18.0" customHeight="1">
      <c r="B51" s="67" t="s">
        <v>131</v>
      </c>
      <c r="C51" s="68">
        <v>0.07</v>
      </c>
      <c r="D51" s="68">
        <v>0.08</v>
      </c>
      <c r="E51" s="68">
        <v>0.085</v>
      </c>
      <c r="F51" s="68">
        <v>0.09</v>
      </c>
      <c r="G51" s="68">
        <v>0.1</v>
      </c>
      <c r="H51" s="68">
        <v>0.11</v>
      </c>
    </row>
    <row r="52" ht="15.75" customHeight="1">
      <c r="B52" s="69">
        <v>5.0</v>
      </c>
      <c r="C52" s="39">
        <f>IFERROR((C28*B52)/(1+C51)^5+E17/(1+C51)^1+F17/(1+C51)^2+G17/(1+C51)^3+H17/(1+C51)^4+I17/(1+C51)^5-Assumptions!C34-Assumptions!C35+Assumptions!C33,0)/Assumptions!C36</f>
        <v>55.1042832</v>
      </c>
      <c r="D52" s="39">
        <f>IFERROR((C28*B52)/(1+D51)^5+E17/(1+D51)^1+F17/(1+D51)^2+G17/(1+D51)^3+H17/(1+D51)^4+I17/(1+D51)^5-Assumptions!C34-Assumptions!C35+Assumptions!C33,0)/Assumptions!C36</f>
        <v>49.68285664</v>
      </c>
      <c r="E52" s="39">
        <f>IFERROR((C28*B52)/(1+E51)^5+E17/(1+E51)^1+F17/(1+E51)^2+G17/(1+E51)^3+H17/(1+E51)^4+I17/(1+E51)^5-Assumptions!C34-Assumptions!C35+Assumptions!C33,0)/Assumptions!C36</f>
        <v>47.07616464</v>
      </c>
      <c r="F52" s="39">
        <f>IFERROR((C28*B52)/(1+F51)^5+E17/(1+F51)^1+F17/(1+F51)^2+G17/(1+F51)^3+H17/(1+F51)^4+I17/(1+F51)^5-Assumptions!C34-Assumptions!C35+Assumptions!C33,0)/Assumptions!C36</f>
        <v>44.53598067</v>
      </c>
      <c r="G52" s="39">
        <f>IFERROR((C28*B52)/(1+G51)^5+E17/(1+G51)^1+F17/(1+G51)^2+G17/(1+G51)^3+H17/(1+G51)^4+I17/(1+G51)^5-Assumptions!C34-Assumptions!C35+Assumptions!C33,0)/Assumptions!C36</f>
        <v>39.64706739</v>
      </c>
      <c r="H52" s="39">
        <f>IFERROR((C28*B52)/(1+H51)^5+E17/(1+H51)^1+F17/(1+H51)^2+G17/(1+H51)^3+H17/(1+H51)^4+I17/(1+H51)^5-Assumptions!C34-Assumptions!C35+Assumptions!C33,0)/Assumptions!C36</f>
        <v>35.00067912</v>
      </c>
    </row>
    <row r="53" ht="15.75" customHeight="1">
      <c r="B53" s="69">
        <v>6.0</v>
      </c>
      <c r="C53" s="48">
        <f>IFERROR((C28*B53)/(1+C51)^5+E17/(1+C51)^1+F17/(1+C51)^2+G17/(1+C51)^3+H17/(1+C51)^4+I17/(1+C51)^5-Assumptions!C34-Assumptions!C35+Assumptions!C33,0)/Assumptions!C36</f>
        <v>72.63456063</v>
      </c>
      <c r="D53" s="48">
        <f>IFERROR((C28*B53)/(1+D51)^5+E17/(1+D51)^1+F17/(1+D51)^2+G17/(1+D51)^3+H17/(1+D51)^4+I17/(1+D51)^5-Assumptions!C34-Assumptions!C35+Assumptions!C33,0)/Assumptions!C36</f>
        <v>66.41643802</v>
      </c>
      <c r="E53" s="48">
        <f>IFERROR((C28*B53)/(1+E51)^5+E17/(1+E51)^1+F17/(1+E51)^2+G17/(1+E51)^3+H17/(1+E51)^4+I17/(1+E51)^5-Assumptions!C34-Assumptions!C35+Assumptions!C33,0)/Assumptions!C36</f>
        <v>63.4277169</v>
      </c>
      <c r="F53" s="48">
        <f>IFERROR((C28*B53)/(1+F51)^5+E17/(1+F51)^1+F17/(1+F51)^2+G17/(1+F51)^3+H17/(1+F51)^4+I17/(1+F51)^5-Assumptions!C34-Assumptions!C35+Assumptions!C33,0)/Assumptions!C36</f>
        <v>60.51592227</v>
      </c>
      <c r="G53" s="48">
        <f>IFERROR((C28*B53)/(1+G51)^5+E17/(1+G51)^1+F17/(1+G51)^2+G17/(1+G51)^3+H17/(1+G51)^4+I17/(1+G51)^5-Assumptions!C34-Assumptions!C35+Assumptions!C33,0)/Assumptions!C36</f>
        <v>54.91373505</v>
      </c>
      <c r="H53" s="48">
        <f>IFERROR((C28*B53)/(1+H51)^5+E17/(1+H51)^1+F17/(1+H51)^2+G17/(1+H51)^3+H17/(1+H51)^4+I17/(1+H51)^5-Assumptions!C34-Assumptions!C35+Assumptions!C33,0)/Assumptions!C36</f>
        <v>49.59193869</v>
      </c>
    </row>
    <row r="54" ht="15.75" customHeight="1">
      <c r="B54" s="69">
        <v>7.0</v>
      </c>
      <c r="C54" s="39">
        <f>IFERROR((C28*B54)/(1+C51)^5+E17/(1+C51)^1+F17/(1+C51)^2+G17/(1+C51)^3+H17/(1+C51)^4+I17/(1+C51)^5-Assumptions!C34-Assumptions!C35+Assumptions!C33,0)/Assumptions!C36</f>
        <v>90.16483805</v>
      </c>
      <c r="D54" s="39">
        <f>IFERROR((C28*B54)/(1+D51)^5+E17/(1+D51)^1+F17/(1+D51)^2+G17/(1+D51)^3+H17/(1+D51)^4+I17/(1+D51)^5-Assumptions!C34-Assumptions!C35+Assumptions!C33,0)/Assumptions!C36</f>
        <v>83.1500194</v>
      </c>
      <c r="E54" s="39">
        <f>IFERROR((C28*B54)/(1+E51)^5+E17/(1+E51)^1+F17/(1+E51)^2+G17/(1+E51)^3+H17/(1+E51)^4+I17/(1+E51)^5-Assumptions!C34-Assumptions!C35+Assumptions!C33,0)/Assumptions!C36</f>
        <v>79.77926915</v>
      </c>
      <c r="F54" s="39">
        <f>IFERROR((C28*B54)/(1+F51)^5+E17/(1+F51)^1+F17/(1+F51)^2+G17/(1+F51)^3+H17/(1+F51)^4+I17/(1+F51)^5-Assumptions!C34-Assumptions!C35+Assumptions!C33,0)/Assumptions!C36</f>
        <v>76.49586387</v>
      </c>
      <c r="G54" s="39">
        <f>IFERROR((C28*B54)/(1+G51)^5+E17/(1+G51)^1+F17/(1+G51)^2+G17/(1+G51)^3+H17/(1+G51)^4+I17/(1+G51)^5-Assumptions!C34-Assumptions!C35+Assumptions!C33,0)/Assumptions!C36</f>
        <v>70.18040272</v>
      </c>
      <c r="H54" s="39">
        <f>IFERROR((C28*B54)/(1+H51)^5+E17/(1+H51)^1+F17/(1+H51)^2+G17/(1+H51)^3+H17/(1+H51)^4+I17/(1+H51)^5-Assumptions!C34-Assumptions!C35+Assumptions!C33,0)/Assumptions!C36</f>
        <v>64.18319827</v>
      </c>
    </row>
    <row r="55" ht="15.75" customHeight="1">
      <c r="B55" s="69">
        <v>8.0</v>
      </c>
      <c r="C55" s="48">
        <f>IFERROR((C28*B55)/(1+C51)^5+E17/(1+C51)^1+F17/(1+C51)^2+G17/(1+C51)^3+H17/(1+C51)^4+I17/(1+C51)^5-Assumptions!C34-Assumptions!C35+Assumptions!C33,0)/Assumptions!C36</f>
        <v>107.6951155</v>
      </c>
      <c r="D55" s="48">
        <f>IFERROR((C28*B55)/(1+D51)^5+E17/(1+D51)^1+F17/(1+D51)^2+G17/(1+D51)^3+H17/(1+D51)^4+I17/(1+D51)^5-Assumptions!C34-Assumptions!C35+Assumptions!C33,0)/Assumptions!C36</f>
        <v>99.88360077</v>
      </c>
      <c r="E55" s="48">
        <f>IFERROR((C28*B55)/(1+E51)^5+E17/(1+E51)^1+F17/(1+E51)^2+G17/(1+E51)^3+H17/(1+E51)^4+I17/(1+E51)^5-Assumptions!C34-Assumptions!C35+Assumptions!C33,0)/Assumptions!C36</f>
        <v>96.13082141</v>
      </c>
      <c r="F55" s="70">
        <f>IFERROR((C28*B55)/(1+F51)^5+E17/(1+F51)^1+F17/(1+F51)^2+G17/(1+F51)^3+H17/(1+F51)^4+I17/(1+F51)^5-Assumptions!C34-Assumptions!C35+Assumptions!C33,0)/Assumptions!C36</f>
        <v>92.47580547</v>
      </c>
      <c r="G55" s="48">
        <f>IFERROR((C28*B55)/(1+G51)^5+E17/(1+G51)^1+F17/(1+G51)^2+G17/(1+G51)^3+H17/(1+G51)^4+I17/(1+G51)^5-Assumptions!C34-Assumptions!C35+Assumptions!C33,0)/Assumptions!C36</f>
        <v>85.44707039</v>
      </c>
      <c r="H55" s="48">
        <f>IFERROR((C28*B55)/(1+H51)^5+E17/(1+H51)^1+F17/(1+H51)^2+G17/(1+H51)^3+H17/(1+H51)^4+I17/(1+H51)^5-Assumptions!C34-Assumptions!C35+Assumptions!C33,0)/Assumptions!C36</f>
        <v>78.77445785</v>
      </c>
    </row>
    <row r="56" ht="15.75" customHeight="1">
      <c r="B56" s="69">
        <v>9.0</v>
      </c>
      <c r="C56" s="39">
        <f>IFERROR((C28*B56)/(1+C51)^5+E17/(1+C51)^1+F17/(1+C51)^2+G17/(1+C51)^3+H17/(1+C51)^4+I17/(1+C51)^5-Assumptions!C34-Assumptions!C35+Assumptions!C33,0)/Assumptions!C36</f>
        <v>125.2253929</v>
      </c>
      <c r="D56" s="39">
        <f>IFERROR((C28*B56)/(1+D51)^5+E17/(1+D51)^1+F17/(1+D51)^2+G17/(1+D51)^3+H17/(1+D51)^4+I17/(1+D51)^5-Assumptions!C34-Assumptions!C35+Assumptions!C33,0)/Assumptions!C36</f>
        <v>116.6171822</v>
      </c>
      <c r="E56" s="39">
        <f>IFERROR((C28*B56)/(1+E51)^5+E17/(1+E51)^1+F17/(1+E51)^2+G17/(1+E51)^3+H17/(1+E51)^4+I17/(1+E51)^5-Assumptions!C34-Assumptions!C35+Assumptions!C33,0)/Assumptions!C36</f>
        <v>112.4823737</v>
      </c>
      <c r="F56" s="39">
        <f>IFERROR((C28*B56)/(1+F51)^5+E17/(1+F51)^1+F17/(1+F51)^2+G17/(1+F51)^3+H17/(1+F51)^4+I17/(1+F51)^5-Assumptions!C34-Assumptions!C35+Assumptions!C33,0)/Assumptions!C36</f>
        <v>108.4557471</v>
      </c>
      <c r="G56" s="39">
        <f>IFERROR((C28*B56)/(1+G51)^5+E17/(1+G51)^1+F17/(1+G51)^2+G17/(1+G51)^3+H17/(1+G51)^4+I17/(1+G51)^5-Assumptions!C34-Assumptions!C35+Assumptions!C33,0)/Assumptions!C36</f>
        <v>100.7137381</v>
      </c>
      <c r="H56" s="39">
        <f>IFERROR((C28*B56)/(1+H51)^5+E17/(1+H51)^1+F17/(1+H51)^2+G17/(1+H51)^3+H17/(1+H51)^4+I17/(1+H51)^5-Assumptions!C34-Assumptions!C35+Assumptions!C33,0)/Assumptions!C36</f>
        <v>93.36571743</v>
      </c>
    </row>
    <row r="57" ht="15.75" customHeight="1">
      <c r="B57" s="69">
        <v>9.5</v>
      </c>
      <c r="C57" s="48">
        <f>IFERROR((C28*B57)/(1+C51)^5+E17/(1+C51)^1+F17/(1+C51)^2+G17/(1+C51)^3+H17/(1+C51)^4+I17/(1+C51)^5-Assumptions!C34-Assumptions!C35+Assumptions!C33,0)/Assumptions!C36</f>
        <v>133.9905316</v>
      </c>
      <c r="D57" s="48">
        <f>IFERROR((C28*B57)/(1+D51)^5+E17/(1+D51)^1+F17/(1+D51)^2+G17/(1+D51)^3+H17/(1+D51)^4+I17/(1+D51)^5-Assumptions!C34-Assumptions!C35+Assumptions!C33,0)/Assumptions!C36</f>
        <v>124.9839728</v>
      </c>
      <c r="E57" s="48">
        <f>IFERROR((C28*B57)/(1+E51)^5+E17/(1+E51)^1+F17/(1+E51)^2+G17/(1+E51)^3+H17/(1+E51)^4+I17/(1+E51)^5-Assumptions!C34-Assumptions!C35+Assumptions!C33,0)/Assumptions!C36</f>
        <v>120.6581498</v>
      </c>
      <c r="F57" s="48">
        <f>IFERROR((C28*B57)/(1+F51)^5+E17/(1+F51)^1+F17/(1+F51)^2+G17/(1+F51)^3+H17/(1+F51)^4+I17/(1+F51)^5-Assumptions!C34-Assumptions!C35+Assumptions!C33,0)/Assumptions!C36</f>
        <v>116.4457179</v>
      </c>
      <c r="G57" s="48">
        <f>IFERROR((C28*B57)/(1+G51)^5+E17/(1+G51)^1+F17/(1+G51)^2+G17/(1+G51)^3+H17/(1+G51)^4+I17/(1+G51)^5-Assumptions!C34-Assumptions!C35+Assumptions!C33,0)/Assumptions!C36</f>
        <v>108.3470719</v>
      </c>
      <c r="H57" s="48">
        <f>IFERROR((C28*B57)/(1+H51)^5+E17/(1+H51)^1+F17/(1+H51)^2+G17/(1+H51)^3+H17/(1+H51)^4+I17/(1+H51)^5-Assumptions!C34-Assumptions!C35+Assumptions!C33,0)/Assumptions!C36</f>
        <v>100.6613472</v>
      </c>
    </row>
    <row r="58" ht="15.75" customHeight="1">
      <c r="B58" s="69">
        <v>10.0</v>
      </c>
      <c r="C58" s="39">
        <f>IFERROR((C28*B58)/(1+C51)^5+E17/(1+C51)^1+F17/(1+C51)^2+G17/(1+C51)^3+H17/(1+C51)^4+I17/(1+C51)^5-Assumptions!C34-Assumptions!C35+Assumptions!C33,0)/Assumptions!C36</f>
        <v>142.7556703</v>
      </c>
      <c r="D58" s="39">
        <f>IFERROR((C28*B58)/(1+D51)^5+E17/(1+D51)^1+F17/(1+D51)^2+G17/(1+D51)^3+H17/(1+D51)^4+I17/(1+D51)^5-Assumptions!C34-Assumptions!C35+Assumptions!C33,0)/Assumptions!C36</f>
        <v>133.3507635</v>
      </c>
      <c r="E58" s="39">
        <f>IFERROR((C28*B58)/(1+E51)^5+E17/(1+E51)^1+F17/(1+E51)^2+G17/(1+E51)^3+H17/(1+E51)^4+I17/(1+E51)^5-Assumptions!C34-Assumptions!C35+Assumptions!C33,0)/Assumptions!C36</f>
        <v>128.8339259</v>
      </c>
      <c r="F58" s="39">
        <f>IFERROR((C28*B58)/(1+F51)^5+E17/(1+F51)^1+F17/(1+F51)^2+G17/(1+F51)^3+H17/(1+F51)^4+I17/(1+F51)^5-Assumptions!C34-Assumptions!C35+Assumptions!C33,0)/Assumptions!C36</f>
        <v>124.4356887</v>
      </c>
      <c r="G58" s="39">
        <f>IFERROR((C28*B58)/(1+G51)^5+E17/(1+G51)^1+F17/(1+G51)^2+G17/(1+G51)^3+H17/(1+G51)^4+I17/(1+G51)^5-Assumptions!C34-Assumptions!C35+Assumptions!C33,0)/Assumptions!C36</f>
        <v>115.9804057</v>
      </c>
      <c r="H58" s="39">
        <f>IFERROR((C28*B58)/(1+H51)^5+E17/(1+H51)^1+F17/(1+H51)^2+G17/(1+H51)^3+H17/(1+H51)^4+I17/(1+H51)^5-Assumptions!C34-Assumptions!C35+Assumptions!C33,0)/Assumptions!C36</f>
        <v>107.956977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3:E43"/>
    <mergeCell ref="B50:I50"/>
    <mergeCell ref="B2:I2"/>
    <mergeCell ref="B3:I3"/>
    <mergeCell ref="C5:D5"/>
    <mergeCell ref="E5:I5"/>
    <mergeCell ref="B16:I16"/>
    <mergeCell ref="B19:I19"/>
    <mergeCell ref="B26:I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5" width="16.0"/>
    <col customWidth="1" min="6" max="6" width="2.0"/>
    <col customWidth="1" min="7" max="26" width="8.71"/>
  </cols>
  <sheetData>
    <row r="2" ht="27.75" customHeight="1">
      <c r="B2" s="40" t="s">
        <v>132</v>
      </c>
    </row>
    <row r="3" ht="12.75" customHeight="1">
      <c r="B3" s="26"/>
    </row>
    <row r="5" ht="19.5" customHeight="1">
      <c r="B5" s="34" t="s">
        <v>43</v>
      </c>
      <c r="C5" s="71" t="s">
        <v>133</v>
      </c>
      <c r="D5" s="34" t="s">
        <v>134</v>
      </c>
      <c r="E5" s="72" t="s">
        <v>135</v>
      </c>
    </row>
    <row r="6" ht="18.0" customHeight="1">
      <c r="B6" s="24" t="s">
        <v>136</v>
      </c>
      <c r="C6" s="31">
        <v>0.005</v>
      </c>
      <c r="D6" s="31">
        <f>Assumptions!G24</f>
        <v>0.02</v>
      </c>
      <c r="E6" s="73">
        <v>0.06</v>
      </c>
    </row>
    <row r="7" ht="18.0" customHeight="1">
      <c r="B7" s="27" t="s">
        <v>50</v>
      </c>
      <c r="C7" s="35">
        <v>0.24</v>
      </c>
      <c r="D7" s="35">
        <f>Assumptions!C25</f>
        <v>0.27</v>
      </c>
      <c r="E7" s="74">
        <v>0.3</v>
      </c>
    </row>
    <row r="8" ht="18.0" customHeight="1">
      <c r="B8" s="24" t="s">
        <v>18</v>
      </c>
      <c r="C8" s="33">
        <v>6.0</v>
      </c>
      <c r="D8" s="33">
        <f>Assumptions!C19</f>
        <v>8</v>
      </c>
      <c r="E8" s="75">
        <v>9.5</v>
      </c>
    </row>
    <row r="9" ht="18.0" customHeight="1">
      <c r="B9" s="27" t="s">
        <v>17</v>
      </c>
      <c r="C9" s="35">
        <v>0.005</v>
      </c>
      <c r="D9" s="35">
        <f>Assumptions!C18</f>
        <v>0.015</v>
      </c>
      <c r="E9" s="74">
        <v>0.025</v>
      </c>
    </row>
    <row r="10" ht="18.0" customHeight="1">
      <c r="B10" s="24" t="s">
        <v>137</v>
      </c>
      <c r="C10" s="31">
        <v>0.1</v>
      </c>
      <c r="D10" s="31">
        <f>Assumptions!C15</f>
        <v>0.09</v>
      </c>
      <c r="E10" s="73">
        <v>0.07</v>
      </c>
    </row>
    <row r="12" ht="15.0" customHeight="1">
      <c r="B12" s="13" t="s">
        <v>138</v>
      </c>
      <c r="C12" s="4"/>
      <c r="D12" s="4"/>
      <c r="E12" s="5"/>
    </row>
    <row r="13" ht="19.5" customHeight="1">
      <c r="B13" s="56" t="s">
        <v>139</v>
      </c>
      <c r="C13" s="76">
        <v>65.33</v>
      </c>
      <c r="D13" s="77">
        <f>DCF!C46</f>
        <v>88.51351614</v>
      </c>
      <c r="E13" s="78">
        <v>123.55</v>
      </c>
    </row>
    <row r="14" ht="18.0" customHeight="1">
      <c r="B14" s="56" t="s">
        <v>140</v>
      </c>
      <c r="C14" s="66">
        <f>(C13-Assumptions!C37)/Assumptions!C37</f>
        <v>-0.5241806264</v>
      </c>
      <c r="D14" s="79">
        <f>(D13-Assumptions!C37)/Assumptions!C37</f>
        <v>-0.3553276319</v>
      </c>
      <c r="E14" s="80">
        <f>(E13-Assumptions!C37)/Assumptions!C37</f>
        <v>-0.1001456664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12:E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3" width="8.0"/>
    <col customWidth="1" min="4" max="5" width="12.0"/>
    <col customWidth="1" min="6" max="7" width="11.0"/>
    <col customWidth="1" min="8" max="9" width="12.0"/>
    <col customWidth="1" min="10" max="12" width="10.0"/>
    <col customWidth="1" min="13" max="26" width="8.71"/>
  </cols>
  <sheetData>
    <row r="2" ht="27.75" customHeight="1">
      <c r="B2" s="40" t="s">
        <v>141</v>
      </c>
    </row>
    <row r="3" ht="12.75" customHeight="1">
      <c r="B3" s="26" t="s">
        <v>142</v>
      </c>
    </row>
    <row r="5" ht="19.5" customHeight="1">
      <c r="B5" s="34" t="s">
        <v>143</v>
      </c>
      <c r="C5" s="34" t="s">
        <v>144</v>
      </c>
      <c r="D5" s="34" t="s">
        <v>145</v>
      </c>
      <c r="E5" s="34" t="s">
        <v>146</v>
      </c>
      <c r="F5" s="34" t="s">
        <v>71</v>
      </c>
      <c r="G5" s="34" t="s">
        <v>147</v>
      </c>
      <c r="H5" s="34" t="s">
        <v>73</v>
      </c>
      <c r="I5" s="34" t="s">
        <v>148</v>
      </c>
      <c r="J5" s="34" t="s">
        <v>149</v>
      </c>
      <c r="K5" s="34" t="s">
        <v>150</v>
      </c>
      <c r="L5" s="34" t="s">
        <v>151</v>
      </c>
    </row>
    <row r="6" ht="16.5" customHeight="1">
      <c r="B6" s="81" t="s">
        <v>152</v>
      </c>
      <c r="C6" s="82" t="s">
        <v>0</v>
      </c>
      <c r="D6" s="83">
        <v>5110.0</v>
      </c>
      <c r="E6" s="83">
        <v>8241.0</v>
      </c>
      <c r="F6" s="83">
        <v>2896.0</v>
      </c>
      <c r="G6" s="84">
        <v>0.002</v>
      </c>
      <c r="H6" s="83">
        <v>838.0</v>
      </c>
      <c r="I6" s="84">
        <f t="shared" ref="I6:I11" si="1">IFERROR(H6/F6,"-")</f>
        <v>0.2893646409</v>
      </c>
      <c r="J6" s="85">
        <f t="shared" ref="J6:J11" si="2">IFERROR(E6/H6,"-")</f>
        <v>9.834128878</v>
      </c>
      <c r="K6" s="85">
        <f t="shared" ref="K6:K11" si="3">IFERROR(E6/F6,"-")</f>
        <v>2.845649171</v>
      </c>
      <c r="L6" s="85">
        <v>21.3</v>
      </c>
    </row>
    <row r="7" ht="16.5" customHeight="1">
      <c r="B7" s="27" t="s">
        <v>153</v>
      </c>
      <c r="C7" s="86" t="s">
        <v>154</v>
      </c>
      <c r="D7" s="37">
        <v>2800.0</v>
      </c>
      <c r="E7" s="37">
        <v>10061.0</v>
      </c>
      <c r="F7" s="37">
        <v>4000.0</v>
      </c>
      <c r="G7" s="47">
        <v>0.041</v>
      </c>
      <c r="H7" s="37">
        <v>836.0</v>
      </c>
      <c r="I7" s="47">
        <f t="shared" si="1"/>
        <v>0.209</v>
      </c>
      <c r="J7" s="32">
        <f t="shared" si="2"/>
        <v>12.034689</v>
      </c>
      <c r="K7" s="32">
        <f t="shared" si="3"/>
        <v>2.51525</v>
      </c>
      <c r="L7" s="32">
        <v>10.4</v>
      </c>
    </row>
    <row r="8" ht="16.5" customHeight="1">
      <c r="B8" s="24" t="s">
        <v>155</v>
      </c>
      <c r="C8" s="87" t="s">
        <v>156</v>
      </c>
      <c r="D8" s="36">
        <v>1900.0</v>
      </c>
      <c r="E8" s="36">
        <v>7268.0</v>
      </c>
      <c r="F8" s="36">
        <v>2900.0</v>
      </c>
      <c r="G8" s="45">
        <v>0.311</v>
      </c>
      <c r="H8" s="36">
        <v>729.0</v>
      </c>
      <c r="I8" s="45">
        <f t="shared" si="1"/>
        <v>0.2513793103</v>
      </c>
      <c r="J8" s="33">
        <f t="shared" si="2"/>
        <v>9.969821674</v>
      </c>
      <c r="K8" s="33">
        <f t="shared" si="3"/>
        <v>2.506206897</v>
      </c>
      <c r="L8" s="33">
        <v>17.0</v>
      </c>
    </row>
    <row r="9" ht="16.5" customHeight="1">
      <c r="B9" s="27" t="s">
        <v>157</v>
      </c>
      <c r="C9" s="86" t="s">
        <v>158</v>
      </c>
      <c r="D9" s="37">
        <v>1400.0</v>
      </c>
      <c r="E9" s="37">
        <v>4065.0</v>
      </c>
      <c r="F9" s="37">
        <v>1200.0</v>
      </c>
      <c r="G9" s="47">
        <v>-0.033</v>
      </c>
      <c r="H9" s="37">
        <v>407.0</v>
      </c>
      <c r="I9" s="47">
        <f t="shared" si="1"/>
        <v>0.3391666667</v>
      </c>
      <c r="J9" s="32">
        <f t="shared" si="2"/>
        <v>9.987714988</v>
      </c>
      <c r="K9" s="32">
        <f t="shared" si="3"/>
        <v>3.3875</v>
      </c>
      <c r="L9" s="32">
        <v>10.9</v>
      </c>
    </row>
    <row r="10" ht="16.5" customHeight="1">
      <c r="B10" s="24" t="s">
        <v>159</v>
      </c>
      <c r="C10" s="87" t="s">
        <v>160</v>
      </c>
      <c r="D10" s="36">
        <v>2700.0</v>
      </c>
      <c r="E10" s="36">
        <v>11047.0</v>
      </c>
      <c r="F10" s="36">
        <v>3700.0</v>
      </c>
      <c r="G10" s="45">
        <v>0.06</v>
      </c>
      <c r="H10" s="36">
        <v>605.0</v>
      </c>
      <c r="I10" s="45">
        <f t="shared" si="1"/>
        <v>0.1635135135</v>
      </c>
      <c r="J10" s="33">
        <f t="shared" si="2"/>
        <v>18.25950413</v>
      </c>
      <c r="K10" s="33">
        <f t="shared" si="3"/>
        <v>2.985675676</v>
      </c>
      <c r="L10" s="55"/>
    </row>
    <row r="11" ht="16.5" customHeight="1">
      <c r="B11" s="27" t="s">
        <v>161</v>
      </c>
      <c r="C11" s="86" t="s">
        <v>162</v>
      </c>
      <c r="D11" s="37">
        <v>1900.0</v>
      </c>
      <c r="E11" s="37">
        <v>7045.0</v>
      </c>
      <c r="F11" s="37">
        <v>5000.0</v>
      </c>
      <c r="G11" s="47">
        <v>0.042</v>
      </c>
      <c r="H11" s="37">
        <v>705.0</v>
      </c>
      <c r="I11" s="47">
        <f t="shared" si="1"/>
        <v>0.141</v>
      </c>
      <c r="J11" s="32">
        <f t="shared" si="2"/>
        <v>9.992907801</v>
      </c>
      <c r="K11" s="32">
        <f t="shared" si="3"/>
        <v>1.409</v>
      </c>
      <c r="L11" s="32">
        <v>13.2</v>
      </c>
    </row>
    <row r="12" ht="16.5" customHeight="1">
      <c r="B12" s="88" t="s">
        <v>163</v>
      </c>
      <c r="C12" s="89" t="s">
        <v>164</v>
      </c>
      <c r="D12" s="90" t="str">
        <f t="shared" ref="D12:F12" si="4">IFERROR(AVERAGE(IF(ISNUMBER(D6:D11),D6:D11)),"")</f>
        <v/>
      </c>
      <c r="E12" s="90" t="str">
        <f t="shared" si="4"/>
        <v/>
      </c>
      <c r="F12" s="90" t="str">
        <f t="shared" si="4"/>
        <v/>
      </c>
      <c r="G12" s="91"/>
      <c r="H12" s="90" t="str">
        <f t="shared" ref="H12:L12" si="5">IFERROR(AVERAGE(IF(ISNUMBER(H6:H11),H6:H11)),"")</f>
        <v/>
      </c>
      <c r="I12" s="92" t="str">
        <f t="shared" si="5"/>
        <v/>
      </c>
      <c r="J12" s="93" t="str">
        <f t="shared" si="5"/>
        <v/>
      </c>
      <c r="K12" s="93" t="str">
        <f t="shared" si="5"/>
        <v/>
      </c>
      <c r="L12" s="93" t="str">
        <f t="shared" si="5"/>
        <v/>
      </c>
    </row>
    <row r="13" ht="16.5" customHeight="1">
      <c r="B13" s="88" t="s">
        <v>165</v>
      </c>
      <c r="C13" s="89" t="s">
        <v>164</v>
      </c>
      <c r="D13" s="90" t="str">
        <f t="shared" ref="D13:F13" si="6">IFERROR(MEDIAN(IF(ISNUMBER(D6:D11),D6:D11)),"")</f>
        <v/>
      </c>
      <c r="E13" s="90" t="str">
        <f t="shared" si="6"/>
        <v/>
      </c>
      <c r="F13" s="90" t="str">
        <f t="shared" si="6"/>
        <v/>
      </c>
      <c r="G13" s="91"/>
      <c r="H13" s="90" t="str">
        <f t="shared" ref="H13:L13" si="7">IFERROR(MEDIAN(IF(ISNUMBER(H6:H11),H6:H11)),"")</f>
        <v/>
      </c>
      <c r="I13" s="92" t="str">
        <f t="shared" si="7"/>
        <v/>
      </c>
      <c r="J13" s="93" t="str">
        <f t="shared" si="7"/>
        <v/>
      </c>
      <c r="K13" s="93" t="str">
        <f t="shared" si="7"/>
        <v/>
      </c>
      <c r="L13" s="93" t="str">
        <f t="shared" si="7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L2"/>
    <mergeCell ref="B3:L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6" width="14.0"/>
    <col customWidth="1" min="7" max="26" width="8.71"/>
  </cols>
  <sheetData>
    <row r="2" ht="27.75" customHeight="1">
      <c r="B2" s="40" t="s">
        <v>166</v>
      </c>
    </row>
    <row r="3" ht="12.75" customHeight="1">
      <c r="B3" s="26"/>
    </row>
    <row r="5" ht="19.5" customHeight="1">
      <c r="B5" s="34" t="s">
        <v>167</v>
      </c>
      <c r="C5" s="34" t="s">
        <v>168</v>
      </c>
      <c r="D5" s="34" t="s">
        <v>169</v>
      </c>
      <c r="E5" s="34" t="s">
        <v>170</v>
      </c>
      <c r="F5" s="34" t="s">
        <v>171</v>
      </c>
    </row>
    <row r="6" ht="21.75" customHeight="1">
      <c r="B6" s="52" t="s">
        <v>172</v>
      </c>
      <c r="C6" s="94">
        <f>DCF!C33*0.66</f>
        <v>61.03403161</v>
      </c>
      <c r="D6" s="94">
        <f>DCF!C33</f>
        <v>92.47580547</v>
      </c>
      <c r="E6" s="94">
        <f>DCF!C33*1.25</f>
        <v>115.5947568</v>
      </c>
      <c r="F6" s="95">
        <f>Assumptions!C37</f>
        <v>137.3</v>
      </c>
    </row>
    <row r="7" ht="21.75" customHeight="1">
      <c r="B7" s="43" t="s">
        <v>173</v>
      </c>
      <c r="C7" s="96">
        <f>DCF!C41*0.65</f>
        <v>53.67055339</v>
      </c>
      <c r="D7" s="96">
        <f>DCF!C41</f>
        <v>82.57008214</v>
      </c>
      <c r="E7" s="96">
        <f>DCF!C41*1.25</f>
        <v>103.2126027</v>
      </c>
      <c r="F7" s="95">
        <f>Assumptions!C37</f>
        <v>137.3</v>
      </c>
    </row>
    <row r="8" ht="21.75" customHeight="1">
      <c r="B8" s="52" t="s">
        <v>174</v>
      </c>
      <c r="C8" s="39" t="s">
        <v>175</v>
      </c>
      <c r="D8" s="39" t="s">
        <v>176</v>
      </c>
      <c r="E8" s="39" t="s">
        <v>177</v>
      </c>
      <c r="F8" s="95">
        <f>Assumptions!C37</f>
        <v>137.3</v>
      </c>
    </row>
    <row r="9" ht="21.75" customHeight="1">
      <c r="B9" s="43" t="s">
        <v>178</v>
      </c>
      <c r="C9" s="48" t="s">
        <v>179</v>
      </c>
      <c r="D9" s="48" t="s">
        <v>180</v>
      </c>
      <c r="E9" s="48" t="s">
        <v>181</v>
      </c>
      <c r="F9" s="95">
        <f>Assumptions!C37</f>
        <v>137.3</v>
      </c>
    </row>
    <row r="11" ht="21.75" customHeight="1">
      <c r="B11" s="81" t="s">
        <v>182</v>
      </c>
      <c r="C11" s="81"/>
      <c r="D11" s="97">
        <f>DCF!C46</f>
        <v>88.51351614</v>
      </c>
      <c r="E11" s="98">
        <f>DCF!C48</f>
        <v>-0.3553276319</v>
      </c>
      <c r="F11" s="95">
        <f>Assumptions!C37</f>
        <v>137.3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